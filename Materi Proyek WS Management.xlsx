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F85E5A911BE594/Nusatech/BISNIS Feature/"/>
    </mc:Choice>
  </mc:AlternateContent>
  <xr:revisionPtr revIDLastSave="237" documentId="8_{B15506BD-FD01-4B71-9970-B5A9F3A80B29}" xr6:coauthVersionLast="47" xr6:coauthVersionMax="47" xr10:uidLastSave="{2F8D7E9A-BD3F-4646-9F1D-0BC977FBE173}"/>
  <bookViews>
    <workbookView xWindow="28680" yWindow="-120" windowWidth="29040" windowHeight="15840" activeTab="1" xr2:uid="{722D85EC-AA69-47E4-99C3-A784FDE4C7EF}"/>
  </bookViews>
  <sheets>
    <sheet name="PT. Tri Aldera" sheetId="11" r:id="rId1"/>
    <sheet name="PT. Medco" sheetId="7" r:id="rId2"/>
    <sheet name="Sheet1" sheetId="10" r:id="rId3"/>
  </sheets>
  <definedNames>
    <definedName name="_xlnm.Print_Area" localSheetId="0">'PT. Tri Aldera'!$A$1:$N$53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9" i="7" l="1"/>
  <c r="S18" i="7"/>
  <c r="S17" i="7"/>
  <c r="S16" i="7"/>
  <c r="M14" i="7"/>
  <c r="M12" i="7"/>
  <c r="M10" i="7"/>
  <c r="M8" i="7"/>
  <c r="M6" i="7"/>
  <c r="P19" i="7"/>
  <c r="Q19" i="7"/>
  <c r="R19" i="7"/>
  <c r="O19" i="7"/>
  <c r="R18" i="7"/>
  <c r="Q18" i="7"/>
  <c r="P18" i="7"/>
  <c r="O18" i="7"/>
  <c r="R17" i="7"/>
  <c r="Q17" i="7"/>
  <c r="P17" i="7"/>
  <c r="O17" i="7"/>
  <c r="R16" i="7"/>
  <c r="Q16" i="7"/>
  <c r="P16" i="7"/>
  <c r="O16" i="7"/>
  <c r="O15" i="7"/>
  <c r="Y15" i="7"/>
  <c r="X15" i="7"/>
  <c r="W15" i="7"/>
  <c r="V15" i="7"/>
  <c r="U15" i="7"/>
  <c r="T15" i="7"/>
  <c r="S15" i="7"/>
  <c r="R15" i="7"/>
  <c r="Q15" i="7"/>
  <c r="P15" i="7"/>
  <c r="X13" i="7"/>
  <c r="W13" i="7"/>
  <c r="S11" i="7"/>
  <c r="R11" i="7"/>
  <c r="Q11" i="7"/>
  <c r="P11" i="7"/>
  <c r="O11" i="7"/>
  <c r="V9" i="7"/>
  <c r="U9" i="7"/>
  <c r="L15" i="7"/>
  <c r="L13" i="7"/>
  <c r="K15" i="7"/>
  <c r="T7" i="7"/>
  <c r="R7" i="7"/>
  <c r="L11" i="7"/>
  <c r="L9" i="7"/>
  <c r="L7" i="7"/>
  <c r="Q7" i="7" s="1"/>
  <c r="L5" i="7"/>
  <c r="O5" i="7" s="1"/>
  <c r="K9" i="11"/>
  <c r="L9" i="11"/>
  <c r="L12" i="11" s="1"/>
  <c r="L40" i="11" s="1"/>
  <c r="M9" i="11"/>
  <c r="M12" i="11" s="1"/>
  <c r="M40" i="11" s="1"/>
  <c r="K10" i="11"/>
  <c r="N10" i="11" s="1"/>
  <c r="L10" i="11"/>
  <c r="M10" i="11"/>
  <c r="K12" i="11"/>
  <c r="K40" i="11" s="1"/>
  <c r="K14" i="11"/>
  <c r="N14" i="11" s="1"/>
  <c r="L14" i="11"/>
  <c r="M14" i="11"/>
  <c r="K15" i="11"/>
  <c r="N15" i="11" s="1"/>
  <c r="L15" i="11"/>
  <c r="M15" i="11"/>
  <c r="K16" i="11"/>
  <c r="N16" i="11" s="1"/>
  <c r="L16" i="11"/>
  <c r="M16" i="11"/>
  <c r="K17" i="11"/>
  <c r="N17" i="11" s="1"/>
  <c r="L17" i="11"/>
  <c r="M17" i="11"/>
  <c r="K18" i="11"/>
  <c r="N18" i="11" s="1"/>
  <c r="L18" i="11"/>
  <c r="M18" i="11"/>
  <c r="K20" i="11"/>
  <c r="L20" i="11"/>
  <c r="M20" i="11"/>
  <c r="K22" i="11"/>
  <c r="N22" i="11" s="1"/>
  <c r="N25" i="11" s="1"/>
  <c r="L22" i="11"/>
  <c r="M22" i="11"/>
  <c r="K23" i="11"/>
  <c r="N23" i="11" s="1"/>
  <c r="L23" i="11"/>
  <c r="M23" i="11"/>
  <c r="K25" i="11"/>
  <c r="L25" i="11"/>
  <c r="M25" i="11"/>
  <c r="K27" i="11"/>
  <c r="N27" i="11" s="1"/>
  <c r="L27" i="11"/>
  <c r="M27" i="11"/>
  <c r="K28" i="11"/>
  <c r="N28" i="11" s="1"/>
  <c r="L28" i="11"/>
  <c r="M28" i="11"/>
  <c r="K29" i="11"/>
  <c r="N29" i="11" s="1"/>
  <c r="L29" i="11"/>
  <c r="M29" i="11"/>
  <c r="K30" i="11"/>
  <c r="N30" i="11" s="1"/>
  <c r="L30" i="11"/>
  <c r="M30" i="11"/>
  <c r="K31" i="11"/>
  <c r="N31" i="11" s="1"/>
  <c r="L31" i="11"/>
  <c r="M31" i="11"/>
  <c r="K32" i="11"/>
  <c r="N32" i="11" s="1"/>
  <c r="L32" i="11"/>
  <c r="M32" i="11"/>
  <c r="K33" i="11"/>
  <c r="N33" i="11" s="1"/>
  <c r="L33" i="11"/>
  <c r="M33" i="11"/>
  <c r="K35" i="11"/>
  <c r="L35" i="11"/>
  <c r="M35" i="11"/>
  <c r="K37" i="11"/>
  <c r="N37" i="11" s="1"/>
  <c r="N39" i="11" s="1"/>
  <c r="L37" i="11"/>
  <c r="M37" i="11"/>
  <c r="K39" i="11"/>
  <c r="L39" i="11"/>
  <c r="M39" i="11"/>
  <c r="R5" i="7" l="1"/>
  <c r="Q5" i="7"/>
  <c r="S7" i="7"/>
  <c r="P5" i="7"/>
  <c r="N40" i="11"/>
  <c r="N41" i="11" s="1"/>
  <c r="N42" i="11" s="1"/>
  <c r="N9" i="11"/>
  <c r="N12" i="11" s="1"/>
  <c r="N35" i="11"/>
  <c r="N20" i="11"/>
  <c r="K49" i="7" l="1"/>
  <c r="K37" i="7"/>
  <c r="K23" i="7"/>
  <c r="K44" i="7" l="1"/>
  <c r="K42" i="7"/>
  <c r="K48" i="7"/>
  <c r="K50" i="7" s="1"/>
  <c r="K24" i="7"/>
  <c r="K22" i="7"/>
  <c r="K21" i="7"/>
  <c r="K20" i="7"/>
  <c r="K11" i="7"/>
  <c r="K9" i="7"/>
  <c r="K7" i="7"/>
  <c r="K5" i="7"/>
  <c r="K45" i="7" l="1"/>
  <c r="K25" i="7"/>
</calcChain>
</file>

<file path=xl/sharedStrings.xml><?xml version="1.0" encoding="utf-8"?>
<sst xmlns="http://schemas.openxmlformats.org/spreadsheetml/2006/main" count="194" uniqueCount="124">
  <si>
    <t xml:space="preserve"> </t>
  </si>
  <si>
    <t>Direktur</t>
  </si>
  <si>
    <t>Set</t>
  </si>
  <si>
    <t>Fabrikasi Shaft Sleeve, Material SUS-304</t>
  </si>
  <si>
    <t>Total Price (IDR)</t>
  </si>
  <si>
    <t>Unit Price (IDR)</t>
  </si>
  <si>
    <t>UoM</t>
  </si>
  <si>
    <t>Qty</t>
  </si>
  <si>
    <t>Description</t>
  </si>
  <si>
    <t>No</t>
  </si>
  <si>
    <t>Pemasangan Teflon Sheet 340 x 120 mm Thk 8 mm</t>
  </si>
  <si>
    <t>Pcs</t>
  </si>
  <si>
    <t>Fabrikasi New Thrust Block Bushing Material SUS-304</t>
  </si>
  <si>
    <t>OD98mm - ID50mm - Length 155mm</t>
  </si>
  <si>
    <t>Repair Shaft Wilo Pump PVST-65-10-NR :</t>
  </si>
  <si>
    <t xml:space="preserve">Weld Repair Bearing Area </t>
  </si>
  <si>
    <t>Titik</t>
  </si>
  <si>
    <t>Weld Repair Seal Area</t>
  </si>
  <si>
    <t>Cold Strightening Shaft</t>
  </si>
  <si>
    <t>Repair Stud Bolt M36 to M30 for Mechanical Jacking Stand</t>
  </si>
  <si>
    <t>-</t>
  </si>
  <si>
    <t>Pce</t>
  </si>
  <si>
    <t>A</t>
  </si>
  <si>
    <t>Modifikasi Jacking Stand dan V-Block</t>
  </si>
  <si>
    <t>B</t>
  </si>
  <si>
    <t>C</t>
  </si>
  <si>
    <t>SET</t>
  </si>
  <si>
    <t>Rekondisi Gland Plate Mechanical Seal - Shaft Assy. #1</t>
  </si>
  <si>
    <t>Dynamic Balacing Impeller (Shaft Assy.) - Shaft Assy. #1</t>
  </si>
  <si>
    <t>New Fabrikasi Shaft Sleeve 42 x 110 mm
Material SUS-304</t>
  </si>
  <si>
    <t>PCE</t>
  </si>
  <si>
    <t>Repair Shaft Assy Pump Disposal A - 1</t>
  </si>
  <si>
    <t>Repair Shaft Assy Pump Disposal A - 2</t>
  </si>
  <si>
    <t>D</t>
  </si>
  <si>
    <t>E</t>
  </si>
  <si>
    <t>Shaft Repair OIM-VT-20131008</t>
  </si>
  <si>
    <t>Weld Repair Top Shaft &amp; Machining</t>
  </si>
  <si>
    <t>Lot</t>
  </si>
  <si>
    <t xml:space="preserve">Cold Strightening    </t>
  </si>
  <si>
    <t>Fabrikasi Shaft Sleeve, Material SUS 304 for</t>
  </si>
  <si>
    <t>Weld Repair &amp; Machining - Pump  Shaft 70 x 1105 mm,
Incld. Shaft Cold Strigtening, Material SUS-304</t>
  </si>
  <si>
    <t>Repair OIM-VT Upper Shaft Assembly - I</t>
  </si>
  <si>
    <t>Repair OIM-VT Upper Shaft Assembly - II</t>
  </si>
  <si>
    <t xml:space="preserve">Repair Penyambungan dan Repair Upper Shaft Pompa OIM </t>
  </si>
  <si>
    <t>Proyek di PT. Medco Power Service Indonesia</t>
  </si>
  <si>
    <t>TOTAL</t>
  </si>
  <si>
    <t>Lock Nut and Lock Washer - ID 60mm dan 70 mm</t>
  </si>
  <si>
    <t>Gland Bushing - OD77.6mm - ID52mm - Length 159mm</t>
  </si>
  <si>
    <t>Fabrikasi Muff Coupling Shaft SUS-304 - OD65mm - ID42mm - Length 164mm</t>
  </si>
  <si>
    <t>Bobot(%)</t>
  </si>
  <si>
    <t>Progress</t>
  </si>
  <si>
    <t>Durasi (days)</t>
  </si>
  <si>
    <t>Yulinas</t>
  </si>
  <si>
    <t>Belum termasuk PPN 11%</t>
  </si>
  <si>
    <t>Jika ada penggantian / fabrikasi component diluar penawaran akan dilakukan penawaran harga tambahan sebagai addendum</t>
  </si>
  <si>
    <t>Harga yang ditawarkan adalah jasa service dan install semua component termasuk hydrostatic test</t>
  </si>
  <si>
    <t>PT. Nusatech Solusi Handal</t>
  </si>
  <si>
    <t>Note:</t>
  </si>
  <si>
    <t>Final</t>
  </si>
  <si>
    <t>Disc 5%</t>
  </si>
  <si>
    <t>TOTAL (I+II+III+IV)</t>
  </si>
  <si>
    <t>SUB-TOTAL V</t>
  </si>
  <si>
    <t xml:space="preserve">Hydrostatic Test </t>
  </si>
  <si>
    <t>a.</t>
  </si>
  <si>
    <t>Hydrostatic Test</t>
  </si>
  <si>
    <t>SUB-TOTAL IV</t>
  </si>
  <si>
    <t xml:space="preserve">Assemblly All Part </t>
  </si>
  <si>
    <t>g.</t>
  </si>
  <si>
    <t>6410-C3</t>
  </si>
  <si>
    <t>Repalce Axial Bearing</t>
  </si>
  <si>
    <t>f.</t>
  </si>
  <si>
    <t>Replace Radial Bearing</t>
  </si>
  <si>
    <t>e.</t>
  </si>
  <si>
    <t>Gasket Casing</t>
  </si>
  <si>
    <t>d.</t>
  </si>
  <si>
    <t>SS-316</t>
  </si>
  <si>
    <t>Case Wear Ring</t>
  </si>
  <si>
    <t xml:space="preserve">c. </t>
  </si>
  <si>
    <t>Impeller Wear Ring</t>
  </si>
  <si>
    <t>b.</t>
  </si>
  <si>
    <t>Unit</t>
  </si>
  <si>
    <t>SS-431</t>
  </si>
  <si>
    <t xml:space="preserve">Replace Shaft </t>
  </si>
  <si>
    <t>New Fabrication &amp; Replacement</t>
  </si>
  <si>
    <t>SUB-TOTAL III</t>
  </si>
  <si>
    <t>Balancing Shaft and Impeller Assy.</t>
  </si>
  <si>
    <t xml:space="preserve">Run Out Shaft and Impeller </t>
  </si>
  <si>
    <t>Run Out and Balancing Shaft and Impeller Assy</t>
  </si>
  <si>
    <t>SUB-TOTAL II</t>
  </si>
  <si>
    <t>lot</t>
  </si>
  <si>
    <t>Inspection Report</t>
  </si>
  <si>
    <t xml:space="preserve">Check  bearing housing </t>
  </si>
  <si>
    <t>Check &amp; ukur semua komponen Pump</t>
  </si>
  <si>
    <t>Cleaning All Parts</t>
  </si>
  <si>
    <t>Dismantling Pump Parts</t>
  </si>
  <si>
    <t>Dismantling, Cleaning Pump Parts</t>
  </si>
  <si>
    <t>SUB-TOTAL I</t>
  </si>
  <si>
    <t>Safety dll.</t>
  </si>
  <si>
    <t>Mobilisasi dan Demobilisasi Vacuum Pump</t>
  </si>
  <si>
    <t>Mob and Demobilisasi Pump From Plant Site to Workshop</t>
  </si>
  <si>
    <t>ALAT</t>
  </si>
  <si>
    <t>UPAH</t>
  </si>
  <si>
    <t>MATERIAL</t>
  </si>
  <si>
    <t>TOTAL (Rp)
(After Disc.)</t>
  </si>
  <si>
    <t>TOTAL HARGA (Rp)</t>
  </si>
  <si>
    <t>HARGA SATUAN (Rp)</t>
  </si>
  <si>
    <t>U/I</t>
  </si>
  <si>
    <t>QTY</t>
  </si>
  <si>
    <t>URAIAN PEKERJAAN</t>
  </si>
  <si>
    <t>NO</t>
  </si>
  <si>
    <t>Type NT 125-400/02-U3D BW1</t>
  </si>
  <si>
    <t>PEKERJAAN  : Service dan Rekondisi Allweiler Pump</t>
  </si>
  <si>
    <t xml:space="preserve">PT. Tri Aldera Sejati - Dumai </t>
  </si>
  <si>
    <t>Pekanbaru. 24 April 2026</t>
  </si>
  <si>
    <t>Durasi Pekerjaan 4 Weeks</t>
  </si>
  <si>
    <t>p</t>
  </si>
  <si>
    <t>P</t>
  </si>
  <si>
    <t>Hari ke</t>
  </si>
  <si>
    <t>Finishing</t>
  </si>
  <si>
    <t>PLANNING</t>
  </si>
  <si>
    <t>ACTUAL</t>
  </si>
  <si>
    <t>AKUMULASI PLANNING</t>
  </si>
  <si>
    <t>AKUMULASI AKTUAL</t>
  </si>
  <si>
    <t>AHEAD/BEHIND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</si>
</sst>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??_);_(@_)"/>
    <numFmt numFmtId="165" formatCode="_(* #,##0.00_);_(* \(#,##0.00\);_(* &quot;-&quot;??_);_(@_)"/>
    <numFmt numFmtId="166" formatCode="_(* #,##0_);_(* \(#,##0\);_(* &quot;-&quot;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  <xf numFmtId="165" fontId="11" fillId="0" borderId="0" applyFont="0" applyFill="0" applyBorder="0" applyAlignment="0" applyProtection="0"/>
    <xf numFmtId="0" fontId="11" fillId="0" borderId="0"/>
    <xf numFmtId="0" fontId="14" fillId="0" borderId="0">
      <alignment vertical="center"/>
    </xf>
  </cellStyleXfs>
  <cellXfs count="114">
    <xf numFmtId="0" fontId="0" fillId="0" borderId="0" xfId="0"/>
    <xf numFmtId="0" fontId="0" fillId="0" borderId="0" xfId="0" quotePrefix="1"/>
    <xf numFmtId="41" fontId="0" fillId="0" borderId="0" xfId="1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41" fontId="3" fillId="0" borderId="3" xfId="1" applyFont="1" applyBorder="1"/>
    <xf numFmtId="41" fontId="0" fillId="0" borderId="0" xfId="0" applyNumberFormat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4" fillId="0" borderId="0" xfId="0" applyFont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/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1" fontId="3" fillId="0" borderId="11" xfId="0" applyNumberFormat="1" applyFont="1" applyBorder="1" applyAlignment="1">
      <alignment horizontal="center"/>
    </xf>
    <xf numFmtId="1" fontId="3" fillId="0" borderId="11" xfId="0" applyNumberFormat="1" applyFont="1" applyBorder="1"/>
    <xf numFmtId="41" fontId="3" fillId="0" borderId="3" xfId="2" applyFont="1" applyBorder="1"/>
    <xf numFmtId="0" fontId="4" fillId="0" borderId="11" xfId="0" applyFont="1" applyBorder="1"/>
    <xf numFmtId="1" fontId="3" fillId="0" borderId="11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41" fontId="3" fillId="0" borderId="13" xfId="1" applyFont="1" applyBorder="1"/>
    <xf numFmtId="1" fontId="4" fillId="0" borderId="11" xfId="0" applyNumberFormat="1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1" fontId="3" fillId="0" borderId="4" xfId="1" applyFont="1" applyBorder="1"/>
    <xf numFmtId="41" fontId="3" fillId="0" borderId="14" xfId="1" applyFont="1" applyBorder="1"/>
    <xf numFmtId="0" fontId="0" fillId="0" borderId="11" xfId="0" applyBorder="1"/>
    <xf numFmtId="0" fontId="0" fillId="0" borderId="3" xfId="0" applyBorder="1"/>
    <xf numFmtId="0" fontId="4" fillId="0" borderId="0" xfId="0" applyFont="1" applyAlignment="1">
      <alignment horizontal="left"/>
    </xf>
    <xf numFmtId="41" fontId="2" fillId="0" borderId="15" xfId="1" applyFont="1" applyBorder="1" applyAlignment="1">
      <alignment horizontal="center"/>
    </xf>
    <xf numFmtId="41" fontId="0" fillId="0" borderId="13" xfId="1" applyFont="1" applyBorder="1"/>
    <xf numFmtId="41" fontId="3" fillId="0" borderId="16" xfId="1" applyFont="1" applyBorder="1"/>
    <xf numFmtId="41" fontId="6" fillId="0" borderId="13" xfId="1" applyFont="1" applyBorder="1"/>
    <xf numFmtId="0" fontId="4" fillId="2" borderId="0" xfId="0" applyFont="1" applyFill="1"/>
    <xf numFmtId="0" fontId="4" fillId="2" borderId="3" xfId="0" applyFont="1" applyFill="1" applyBorder="1" applyAlignment="1">
      <alignment horizontal="center"/>
    </xf>
    <xf numFmtId="41" fontId="4" fillId="2" borderId="3" xfId="1" applyFont="1" applyFill="1" applyBorder="1"/>
    <xf numFmtId="41" fontId="4" fillId="2" borderId="13" xfId="1" applyFont="1" applyFill="1" applyBorder="1"/>
    <xf numFmtId="0" fontId="2" fillId="2" borderId="0" xfId="0" applyFont="1" applyFill="1"/>
    <xf numFmtId="0" fontId="2" fillId="2" borderId="3" xfId="0" applyFont="1" applyFill="1" applyBorder="1"/>
    <xf numFmtId="41" fontId="2" fillId="2" borderId="13" xfId="1" applyFont="1" applyFill="1" applyBorder="1"/>
    <xf numFmtId="0" fontId="4" fillId="2" borderId="0" xfId="0" applyFont="1" applyFill="1" applyAlignment="1">
      <alignment horizontal="left" indent="1"/>
    </xf>
    <xf numFmtId="0" fontId="4" fillId="2" borderId="3" xfId="0" applyFont="1" applyFill="1" applyBorder="1"/>
    <xf numFmtId="0" fontId="4" fillId="2" borderId="0" xfId="0" applyFont="1" applyFill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0" xfId="0" applyFont="1"/>
    <xf numFmtId="164" fontId="0" fillId="0" borderId="0" xfId="0" applyNumberFormat="1"/>
    <xf numFmtId="164" fontId="9" fillId="0" borderId="17" xfId="3" applyNumberFormat="1" applyFont="1" applyBorder="1"/>
    <xf numFmtId="164" fontId="9" fillId="0" borderId="18" xfId="3" applyNumberFormat="1" applyFont="1" applyBorder="1"/>
    <xf numFmtId="0" fontId="10" fillId="0" borderId="9" xfId="3" applyFont="1" applyBorder="1"/>
    <xf numFmtId="0" fontId="10" fillId="0" borderId="19" xfId="3" applyFont="1" applyBorder="1" applyAlignment="1">
      <alignment horizontal="center"/>
    </xf>
    <xf numFmtId="164" fontId="12" fillId="2" borderId="15" xfId="4" applyNumberFormat="1" applyFont="1" applyFill="1" applyBorder="1" applyAlignment="1" applyProtection="1">
      <alignment horizontal="center" vertical="center"/>
    </xf>
    <xf numFmtId="164" fontId="12" fillId="2" borderId="6" xfId="4" applyNumberFormat="1" applyFont="1" applyFill="1" applyBorder="1" applyAlignment="1" applyProtection="1">
      <alignment horizontal="center" vertical="center"/>
    </xf>
    <xf numFmtId="0" fontId="12" fillId="2" borderId="6" xfId="5" applyFont="1" applyFill="1" applyBorder="1" applyAlignment="1">
      <alignment vertical="center"/>
    </xf>
    <xf numFmtId="0" fontId="12" fillId="2" borderId="10" xfId="4" applyNumberFormat="1" applyFont="1" applyFill="1" applyBorder="1" applyAlignment="1" applyProtection="1">
      <alignment horizontal="center" vertical="center"/>
    </xf>
    <xf numFmtId="41" fontId="9" fillId="0" borderId="20" xfId="1" applyFont="1" applyBorder="1"/>
    <xf numFmtId="41" fontId="9" fillId="0" borderId="21" xfId="1" applyFont="1" applyBorder="1"/>
    <xf numFmtId="166" fontId="9" fillId="0" borderId="21" xfId="3" applyNumberFormat="1" applyFont="1" applyBorder="1"/>
    <xf numFmtId="166" fontId="9" fillId="3" borderId="21" xfId="3" applyNumberFormat="1" applyFont="1" applyFill="1" applyBorder="1"/>
    <xf numFmtId="0" fontId="9" fillId="0" borderId="21" xfId="3" applyFont="1" applyBorder="1" applyAlignment="1">
      <alignment horizontal="center"/>
    </xf>
    <xf numFmtId="0" fontId="9" fillId="0" borderId="22" xfId="3" applyFont="1" applyBorder="1"/>
    <xf numFmtId="0" fontId="9" fillId="0" borderId="23" xfId="3" applyFont="1" applyBorder="1"/>
    <xf numFmtId="0" fontId="9" fillId="0" borderId="24" xfId="3" applyFont="1" applyBorder="1"/>
    <xf numFmtId="0" fontId="9" fillId="0" borderId="21" xfId="3" applyFont="1" applyBorder="1"/>
    <xf numFmtId="0" fontId="9" fillId="0" borderId="25" xfId="3" applyFont="1" applyBorder="1"/>
    <xf numFmtId="0" fontId="9" fillId="0" borderId="26" xfId="3" applyFont="1" applyBorder="1"/>
    <xf numFmtId="0" fontId="9" fillId="0" borderId="27" xfId="3" applyFont="1" applyBorder="1"/>
    <xf numFmtId="0" fontId="9" fillId="0" borderId="28" xfId="3" applyFont="1" applyBorder="1"/>
    <xf numFmtId="0" fontId="9" fillId="0" borderId="29" xfId="3" applyFont="1" applyBorder="1"/>
    <xf numFmtId="0" fontId="10" fillId="0" borderId="29" xfId="3" applyFont="1" applyBorder="1"/>
    <xf numFmtId="0" fontId="10" fillId="0" borderId="30" xfId="3" applyFont="1" applyBorder="1" applyAlignment="1">
      <alignment horizontal="center"/>
    </xf>
    <xf numFmtId="0" fontId="9" fillId="0" borderId="3" xfId="3" applyFont="1" applyBorder="1"/>
    <xf numFmtId="0" fontId="9" fillId="0" borderId="31" xfId="3" applyFont="1" applyBorder="1"/>
    <xf numFmtId="0" fontId="9" fillId="0" borderId="2" xfId="3" applyFont="1" applyBorder="1"/>
    <xf numFmtId="0" fontId="9" fillId="0" borderId="32" xfId="3" applyFont="1" applyBorder="1"/>
    <xf numFmtId="0" fontId="9" fillId="0" borderId="16" xfId="3" applyFont="1" applyBorder="1"/>
    <xf numFmtId="0" fontId="10" fillId="0" borderId="32" xfId="3" applyFont="1" applyBorder="1"/>
    <xf numFmtId="41" fontId="9" fillId="4" borderId="20" xfId="1" applyFont="1" applyFill="1" applyBorder="1"/>
    <xf numFmtId="41" fontId="9" fillId="4" borderId="21" xfId="1" applyFont="1" applyFill="1" applyBorder="1"/>
    <xf numFmtId="166" fontId="9" fillId="4" borderId="21" xfId="3" applyNumberFormat="1" applyFont="1" applyFill="1" applyBorder="1"/>
    <xf numFmtId="0" fontId="9" fillId="0" borderId="29" xfId="3" applyFont="1" applyBorder="1" applyAlignment="1">
      <alignment horizontal="center"/>
    </xf>
    <xf numFmtId="0" fontId="9" fillId="0" borderId="30" xfId="3" applyFont="1" applyBorder="1" applyAlignment="1">
      <alignment horizontal="center"/>
    </xf>
    <xf numFmtId="0" fontId="13" fillId="5" borderId="18" xfId="3" applyFont="1" applyFill="1" applyBorder="1" applyAlignment="1">
      <alignment horizontal="center" vertical="center" wrapText="1"/>
    </xf>
    <xf numFmtId="0" fontId="11" fillId="0" borderId="0" xfId="5"/>
    <xf numFmtId="0" fontId="12" fillId="0" borderId="0" xfId="5" applyFont="1"/>
    <xf numFmtId="0" fontId="9" fillId="0" borderId="0" xfId="3" applyFont="1"/>
    <xf numFmtId="0" fontId="15" fillId="3" borderId="0" xfId="6" applyFont="1" applyFill="1" applyAlignment="1">
      <alignment vertical="center" wrapText="1"/>
    </xf>
    <xf numFmtId="0" fontId="13" fillId="2" borderId="6" xfId="5" applyFont="1" applyFill="1" applyBorder="1" applyAlignment="1">
      <alignment horizontal="center"/>
    </xf>
    <xf numFmtId="0" fontId="10" fillId="0" borderId="8" xfId="3" applyFont="1" applyBorder="1" applyAlignment="1">
      <alignment horizontal="center"/>
    </xf>
    <xf numFmtId="0" fontId="10" fillId="0" borderId="7" xfId="3" applyFont="1" applyBorder="1" applyAlignment="1">
      <alignment horizontal="center"/>
    </xf>
    <xf numFmtId="0" fontId="15" fillId="3" borderId="0" xfId="6" applyFont="1" applyFill="1" applyAlignment="1">
      <alignment horizontal="center" vertical="center" wrapText="1"/>
    </xf>
    <xf numFmtId="0" fontId="13" fillId="5" borderId="34" xfId="3" applyFont="1" applyFill="1" applyBorder="1" applyAlignment="1">
      <alignment horizontal="center" vertical="center"/>
    </xf>
    <xf numFmtId="0" fontId="13" fillId="5" borderId="33" xfId="3" applyFont="1" applyFill="1" applyBorder="1" applyAlignment="1">
      <alignment horizontal="center" vertical="center" wrapText="1"/>
    </xf>
    <xf numFmtId="0" fontId="13" fillId="5" borderId="17" xfId="3" applyFont="1" applyFill="1" applyBorder="1" applyAlignment="1">
      <alignment horizontal="center" vertical="center" wrapText="1"/>
    </xf>
    <xf numFmtId="0" fontId="13" fillId="5" borderId="35" xfId="3" applyFont="1" applyFill="1" applyBorder="1" applyAlignment="1">
      <alignment horizontal="center" vertical="center"/>
    </xf>
    <xf numFmtId="0" fontId="13" fillId="5" borderId="19" xfId="3" applyFont="1" applyFill="1" applyBorder="1" applyAlignment="1">
      <alignment horizontal="center" vertical="center"/>
    </xf>
    <xf numFmtId="0" fontId="13" fillId="5" borderId="34" xfId="5" applyFont="1" applyFill="1" applyBorder="1" applyAlignment="1">
      <alignment horizontal="center" vertical="center" wrapText="1"/>
    </xf>
    <xf numFmtId="0" fontId="13" fillId="5" borderId="18" xfId="5" applyFont="1" applyFill="1" applyBorder="1" applyAlignment="1">
      <alignment horizontal="center" vertical="center" wrapText="1"/>
    </xf>
    <xf numFmtId="0" fontId="13" fillId="5" borderId="34" xfId="3" applyFont="1" applyFill="1" applyBorder="1" applyAlignment="1">
      <alignment horizontal="center" vertical="center" wrapText="1"/>
    </xf>
    <xf numFmtId="0" fontId="0" fillId="6" borderId="0" xfId="0" applyFill="1"/>
  </cellXfs>
  <cellStyles count="7">
    <cellStyle name="Comma [0]" xfId="1" builtinId="6"/>
    <cellStyle name="Comma [0] 2" xfId="2" xr:uid="{2906C5B9-F8CC-48CD-B3A1-7254F10C5B9D}"/>
    <cellStyle name="Comma 2" xfId="4" xr:uid="{9FA2BBE1-D787-4199-8251-BEEE58DB2BC1}"/>
    <cellStyle name="Normal" xfId="0" builtinId="0"/>
    <cellStyle name="Normal 2" xfId="6" xr:uid="{1E7AB9BC-F426-43C4-9991-635C512AD6E7}"/>
    <cellStyle name="Normal 2 2" xfId="5" xr:uid="{9B17C3AE-199B-4813-ABD6-2E728E2DFF80}"/>
    <cellStyle name="Normal_EGE11REV2(Final)" xfId="3" xr:uid="{FA7DA7AE-56CD-4899-9F8F-ABEC1EAA8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551036</xdr:colOff>
      <xdr:row>46</xdr:row>
      <xdr:rowOff>78377</xdr:rowOff>
    </xdr:from>
    <xdr:ext cx="1182514" cy="1325329"/>
    <xdr:pic>
      <xdr:nvPicPr>
        <xdr:cNvPr id="2" name="Picture 1">
          <a:extLst>
            <a:ext uri="{FF2B5EF4-FFF2-40B4-BE49-F238E27FC236}">
              <a16:creationId xmlns:a16="http://schemas.microsoft.com/office/drawing/2014/main" id="{7272E447-23EA-417D-ACCB-852F41CC4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636" y="8841377"/>
          <a:ext cx="1182514" cy="1325329"/>
        </a:xfrm>
        <a:prstGeom prst="rect">
          <a:avLst/>
        </a:prstGeom>
      </xdr:spPr>
    </xdr:pic>
    <xdr:clientData/>
  </xdr:oneCellAnchor>
  <xdr:oneCellAnchor>
    <xdr:from>
      <xdr:col>10</xdr:col>
      <xdr:colOff>446088</xdr:colOff>
      <xdr:row>45</xdr:row>
      <xdr:rowOff>180975</xdr:rowOff>
    </xdr:from>
    <xdr:ext cx="1632480" cy="794179"/>
    <xdr:pic>
      <xdr:nvPicPr>
        <xdr:cNvPr id="3" name="Picture 2">
          <a:extLst>
            <a:ext uri="{FF2B5EF4-FFF2-40B4-BE49-F238E27FC236}">
              <a16:creationId xmlns:a16="http://schemas.microsoft.com/office/drawing/2014/main" id="{2FFD3403-AC90-4DCE-8964-6B4E5ABD7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2088" y="8753475"/>
          <a:ext cx="1632480" cy="7941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E08E-331B-4C4F-BA76-CC0363A3DCAB}">
  <sheetPr>
    <pageSetUpPr fitToPage="1"/>
  </sheetPr>
  <dimension ref="A1:O54"/>
  <sheetViews>
    <sheetView topLeftCell="B3" workbookViewId="0">
      <selection activeCell="E56" sqref="E56"/>
    </sheetView>
  </sheetViews>
  <sheetFormatPr defaultRowHeight="15" x14ac:dyDescent="0.25"/>
  <cols>
    <col min="1" max="1" width="5.140625" customWidth="1"/>
    <col min="2" max="2" width="4.140625" customWidth="1"/>
    <col min="3" max="3" width="17.42578125" customWidth="1"/>
    <col min="4" max="4" width="12.7109375" customWidth="1"/>
    <col min="5" max="5" width="28.28515625" customWidth="1"/>
    <col min="8" max="13" width="14" customWidth="1"/>
    <col min="14" max="14" width="16" bestFit="1" customWidth="1"/>
    <col min="15" max="15" width="11.5703125" bestFit="1" customWidth="1"/>
  </cols>
  <sheetData>
    <row r="1" spans="1:14" ht="16.5" x14ac:dyDescent="0.3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8"/>
      <c r="N1" s="97"/>
    </row>
    <row r="2" spans="1:14" ht="15" customHeight="1" x14ac:dyDescent="0.25">
      <c r="A2" s="104" t="s">
        <v>111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4" ht="15" customHeight="1" x14ac:dyDescent="0.25">
      <c r="A3" s="100"/>
      <c r="B3" s="100"/>
      <c r="C3" s="100"/>
      <c r="D3" s="100"/>
      <c r="E3" s="104" t="s">
        <v>110</v>
      </c>
      <c r="F3" s="104"/>
      <c r="G3" s="104"/>
      <c r="H3" s="104"/>
      <c r="I3" s="104"/>
      <c r="J3" s="104"/>
      <c r="K3" s="104"/>
      <c r="L3" s="100"/>
      <c r="M3" s="100"/>
      <c r="N3" s="100"/>
    </row>
    <row r="4" spans="1:14" ht="15" customHeight="1" x14ac:dyDescent="0.25">
      <c r="A4" s="100"/>
      <c r="B4" s="100"/>
      <c r="C4" s="100"/>
      <c r="D4" s="100"/>
      <c r="E4" s="100"/>
      <c r="F4" s="104" t="s">
        <v>112</v>
      </c>
      <c r="G4" s="104"/>
      <c r="H4" s="104"/>
      <c r="I4" s="104"/>
      <c r="J4" s="100"/>
      <c r="K4" s="100"/>
      <c r="L4" s="100"/>
      <c r="M4" s="100"/>
      <c r="N4" s="100"/>
    </row>
    <row r="5" spans="1:14" ht="17.25" thickBot="1" x14ac:dyDescent="0.35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8"/>
      <c r="N5" s="97"/>
    </row>
    <row r="6" spans="1:14" x14ac:dyDescent="0.25">
      <c r="A6" s="108" t="s">
        <v>109</v>
      </c>
      <c r="B6" s="110" t="s">
        <v>108</v>
      </c>
      <c r="C6" s="110"/>
      <c r="D6" s="110"/>
      <c r="E6" s="110"/>
      <c r="F6" s="110" t="s">
        <v>107</v>
      </c>
      <c r="G6" s="110" t="s">
        <v>106</v>
      </c>
      <c r="H6" s="112" t="s">
        <v>105</v>
      </c>
      <c r="I6" s="112"/>
      <c r="J6" s="112"/>
      <c r="K6" s="105" t="s">
        <v>104</v>
      </c>
      <c r="L6" s="105"/>
      <c r="M6" s="105"/>
      <c r="N6" s="106" t="s">
        <v>103</v>
      </c>
    </row>
    <row r="7" spans="1:14" ht="15.75" thickBot="1" x14ac:dyDescent="0.3">
      <c r="A7" s="109"/>
      <c r="B7" s="111"/>
      <c r="C7" s="111"/>
      <c r="D7" s="111"/>
      <c r="E7" s="111"/>
      <c r="F7" s="111"/>
      <c r="G7" s="111"/>
      <c r="H7" s="96" t="s">
        <v>102</v>
      </c>
      <c r="I7" s="96" t="s">
        <v>101</v>
      </c>
      <c r="J7" s="96" t="s">
        <v>100</v>
      </c>
      <c r="K7" s="96" t="s">
        <v>102</v>
      </c>
      <c r="L7" s="96" t="s">
        <v>101</v>
      </c>
      <c r="M7" s="96" t="s">
        <v>100</v>
      </c>
      <c r="N7" s="107"/>
    </row>
    <row r="8" spans="1:14" ht="16.5" x14ac:dyDescent="0.3">
      <c r="A8" s="84" t="s">
        <v>22</v>
      </c>
      <c r="B8" s="83" t="s">
        <v>99</v>
      </c>
      <c r="C8" s="83"/>
      <c r="D8" s="82"/>
      <c r="E8" s="82"/>
      <c r="F8" s="82"/>
      <c r="G8" s="82"/>
      <c r="H8" s="82"/>
      <c r="I8" s="82"/>
      <c r="J8" s="82"/>
      <c r="K8" s="82"/>
      <c r="L8" s="82"/>
      <c r="M8" s="82"/>
      <c r="N8" s="89"/>
    </row>
    <row r="9" spans="1:14" ht="16.5" x14ac:dyDescent="0.3">
      <c r="A9" s="95"/>
      <c r="B9" s="82" t="s">
        <v>63</v>
      </c>
      <c r="C9" s="88" t="s">
        <v>98</v>
      </c>
      <c r="D9" s="87"/>
      <c r="E9" s="86"/>
      <c r="F9" s="94">
        <v>2</v>
      </c>
      <c r="G9" s="94" t="s">
        <v>80</v>
      </c>
      <c r="H9" s="93">
        <v>0</v>
      </c>
      <c r="I9" s="93">
        <v>0</v>
      </c>
      <c r="J9" s="93">
        <v>2500000</v>
      </c>
      <c r="K9" s="92">
        <f>H9*F9</f>
        <v>0</v>
      </c>
      <c r="L9" s="92">
        <f>I9*F9</f>
        <v>0</v>
      </c>
      <c r="M9" s="92">
        <f>J9*F9</f>
        <v>5000000</v>
      </c>
      <c r="N9" s="91">
        <f>SUM(K9:M9)</f>
        <v>5000000</v>
      </c>
    </row>
    <row r="10" spans="1:14" ht="16.5" x14ac:dyDescent="0.3">
      <c r="A10" s="95"/>
      <c r="B10" s="82" t="s">
        <v>79</v>
      </c>
      <c r="C10" s="88" t="s">
        <v>97</v>
      </c>
      <c r="D10" s="87"/>
      <c r="E10" s="86"/>
      <c r="F10" s="94">
        <v>1</v>
      </c>
      <c r="G10" s="94" t="s">
        <v>37</v>
      </c>
      <c r="H10" s="93">
        <v>0</v>
      </c>
      <c r="I10" s="93">
        <v>500000</v>
      </c>
      <c r="J10" s="93">
        <v>0</v>
      </c>
      <c r="K10" s="92">
        <f>H10*F10</f>
        <v>0</v>
      </c>
      <c r="L10" s="92">
        <f>I10*F10</f>
        <v>500000</v>
      </c>
      <c r="M10" s="92">
        <f>J10*F10</f>
        <v>0</v>
      </c>
      <c r="N10" s="91">
        <f>SUM(K10:M10)</f>
        <v>500000</v>
      </c>
    </row>
    <row r="11" spans="1:14" ht="17.25" thickBot="1" x14ac:dyDescent="0.35">
      <c r="A11" s="84"/>
      <c r="B11" s="83"/>
      <c r="C11" s="90"/>
      <c r="D11" s="87"/>
      <c r="E11" s="86"/>
      <c r="F11" s="82"/>
      <c r="G11" s="82"/>
      <c r="H11" s="82"/>
      <c r="I11" s="82"/>
      <c r="J11" s="82"/>
      <c r="K11" s="82"/>
      <c r="L11" s="82"/>
      <c r="M11" s="82"/>
      <c r="N11" s="89"/>
    </row>
    <row r="12" spans="1:14" ht="15.75" thickBot="1" x14ac:dyDescent="0.3">
      <c r="A12" s="68"/>
      <c r="B12" s="67"/>
      <c r="C12" s="101" t="s">
        <v>96</v>
      </c>
      <c r="D12" s="101"/>
      <c r="E12" s="101"/>
      <c r="F12" s="101"/>
      <c r="G12" s="101"/>
      <c r="H12" s="101"/>
      <c r="I12" s="101"/>
      <c r="J12" s="101"/>
      <c r="K12" s="66">
        <f>SUM(K9:K11)</f>
        <v>0</v>
      </c>
      <c r="L12" s="66">
        <f>SUM(L9:L11)</f>
        <v>500000</v>
      </c>
      <c r="M12" s="66">
        <f>SUM(M9:M11)</f>
        <v>5000000</v>
      </c>
      <c r="N12" s="65">
        <f>SUM(N9:N11)</f>
        <v>5500000</v>
      </c>
    </row>
    <row r="13" spans="1:14" ht="16.5" x14ac:dyDescent="0.3">
      <c r="A13" s="84" t="s">
        <v>24</v>
      </c>
      <c r="B13" s="83" t="s">
        <v>95</v>
      </c>
      <c r="C13" s="83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9"/>
    </row>
    <row r="14" spans="1:14" ht="16.5" x14ac:dyDescent="0.3">
      <c r="A14" s="78"/>
      <c r="B14" s="77" t="s">
        <v>63</v>
      </c>
      <c r="C14" s="81" t="s">
        <v>94</v>
      </c>
      <c r="D14" s="80"/>
      <c r="E14" s="79"/>
      <c r="F14" s="73">
        <v>1</v>
      </c>
      <c r="G14" s="73" t="s">
        <v>37</v>
      </c>
      <c r="H14" s="72">
        <v>0</v>
      </c>
      <c r="I14" s="71">
        <v>1100000</v>
      </c>
      <c r="J14" s="71">
        <v>750000</v>
      </c>
      <c r="K14" s="70">
        <f>H14*F14</f>
        <v>0</v>
      </c>
      <c r="L14" s="70">
        <f>I14*F14</f>
        <v>1100000</v>
      </c>
      <c r="M14" s="70">
        <f>J14*F14</f>
        <v>750000</v>
      </c>
      <c r="N14" s="69">
        <f>SUM(K14:M14)</f>
        <v>1850000</v>
      </c>
    </row>
    <row r="15" spans="1:14" ht="16.5" x14ac:dyDescent="0.3">
      <c r="A15" s="78"/>
      <c r="B15" s="77" t="s">
        <v>79</v>
      </c>
      <c r="C15" s="81" t="s">
        <v>93</v>
      </c>
      <c r="D15" s="80"/>
      <c r="E15" s="79"/>
      <c r="F15" s="73">
        <v>1</v>
      </c>
      <c r="G15" s="73" t="s">
        <v>37</v>
      </c>
      <c r="H15" s="72">
        <v>0</v>
      </c>
      <c r="I15" s="71">
        <v>1000000</v>
      </c>
      <c r="J15" s="71">
        <v>750000</v>
      </c>
      <c r="K15" s="70">
        <f>H15*F15</f>
        <v>0</v>
      </c>
      <c r="L15" s="70">
        <f>I15*F15</f>
        <v>1000000</v>
      </c>
      <c r="M15" s="70">
        <f>J15*F15</f>
        <v>750000</v>
      </c>
      <c r="N15" s="69">
        <f>SUM(K15:M15)</f>
        <v>1750000</v>
      </c>
    </row>
    <row r="16" spans="1:14" ht="16.5" x14ac:dyDescent="0.3">
      <c r="A16" s="78"/>
      <c r="B16" s="77" t="s">
        <v>79</v>
      </c>
      <c r="C16" s="81" t="s">
        <v>92</v>
      </c>
      <c r="D16" s="80"/>
      <c r="E16" s="79"/>
      <c r="F16" s="73">
        <v>1</v>
      </c>
      <c r="G16" s="73" t="s">
        <v>37</v>
      </c>
      <c r="H16" s="72">
        <v>0</v>
      </c>
      <c r="I16" s="71">
        <v>1000000</v>
      </c>
      <c r="J16" s="71">
        <v>750000</v>
      </c>
      <c r="K16" s="70">
        <f>H16*F16</f>
        <v>0</v>
      </c>
      <c r="L16" s="70">
        <f>I16*F16</f>
        <v>1000000</v>
      </c>
      <c r="M16" s="70">
        <f>J16*F16</f>
        <v>750000</v>
      </c>
      <c r="N16" s="69">
        <f>SUM(K16:M16)</f>
        <v>1750000</v>
      </c>
    </row>
    <row r="17" spans="1:14" ht="16.5" x14ac:dyDescent="0.3">
      <c r="A17" s="78"/>
      <c r="B17" s="77" t="s">
        <v>77</v>
      </c>
      <c r="C17" s="81" t="s">
        <v>91</v>
      </c>
      <c r="D17" s="80"/>
      <c r="E17" s="79"/>
      <c r="F17" s="73">
        <v>1</v>
      </c>
      <c r="G17" s="73" t="s">
        <v>89</v>
      </c>
      <c r="H17" s="72">
        <v>0</v>
      </c>
      <c r="I17" s="71">
        <v>750000</v>
      </c>
      <c r="J17" s="71">
        <v>500000</v>
      </c>
      <c r="K17" s="70">
        <f>H17*F17</f>
        <v>0</v>
      </c>
      <c r="L17" s="70">
        <f>I17*F17</f>
        <v>750000</v>
      </c>
      <c r="M17" s="70">
        <f>J17*F17</f>
        <v>500000</v>
      </c>
      <c r="N17" s="69">
        <f>SUM(K17:M17)</f>
        <v>1250000</v>
      </c>
    </row>
    <row r="18" spans="1:14" ht="16.5" x14ac:dyDescent="0.3">
      <c r="A18" s="78"/>
      <c r="B18" s="77" t="s">
        <v>74</v>
      </c>
      <c r="C18" s="81" t="s">
        <v>90</v>
      </c>
      <c r="D18" s="80"/>
      <c r="E18" s="79"/>
      <c r="F18" s="73">
        <v>1</v>
      </c>
      <c r="G18" s="73" t="s">
        <v>89</v>
      </c>
      <c r="H18" s="72">
        <v>0</v>
      </c>
      <c r="I18" s="71">
        <v>500000</v>
      </c>
      <c r="J18" s="71">
        <v>0</v>
      </c>
      <c r="K18" s="70">
        <f>H18*F18</f>
        <v>0</v>
      </c>
      <c r="L18" s="70">
        <f>I18*F18</f>
        <v>500000</v>
      </c>
      <c r="M18" s="70">
        <f>J18*F18</f>
        <v>0</v>
      </c>
      <c r="N18" s="69">
        <f>SUM(K18:M18)</f>
        <v>500000</v>
      </c>
    </row>
    <row r="19" spans="1:14" ht="17.25" thickBot="1" x14ac:dyDescent="0.35">
      <c r="A19" s="78"/>
      <c r="B19" s="77"/>
      <c r="C19" s="81"/>
      <c r="D19" s="80"/>
      <c r="E19" s="79"/>
      <c r="F19" s="73"/>
      <c r="G19" s="73"/>
      <c r="H19" s="72"/>
      <c r="I19" s="71"/>
      <c r="J19" s="71"/>
      <c r="K19" s="70"/>
      <c r="L19" s="70"/>
      <c r="M19" s="70"/>
      <c r="N19" s="69"/>
    </row>
    <row r="20" spans="1:14" ht="15.75" thickBot="1" x14ac:dyDescent="0.3">
      <c r="A20" s="68"/>
      <c r="B20" s="67"/>
      <c r="C20" s="101" t="s">
        <v>88</v>
      </c>
      <c r="D20" s="101"/>
      <c r="E20" s="101"/>
      <c r="F20" s="101"/>
      <c r="G20" s="101"/>
      <c r="H20" s="101"/>
      <c r="I20" s="101"/>
      <c r="J20" s="101"/>
      <c r="K20" s="66">
        <f>SUM(K14:K18)</f>
        <v>0</v>
      </c>
      <c r="L20" s="66">
        <f>SUM(L14:L18)</f>
        <v>4350000</v>
      </c>
      <c r="M20" s="66">
        <f>SUM(M14:M18)</f>
        <v>2750000</v>
      </c>
      <c r="N20" s="65">
        <f>SUM(N14:N18)</f>
        <v>7100000</v>
      </c>
    </row>
    <row r="21" spans="1:14" ht="16.5" x14ac:dyDescent="0.3">
      <c r="A21" s="84" t="s">
        <v>25</v>
      </c>
      <c r="B21" s="83" t="s">
        <v>87</v>
      </c>
      <c r="C21" s="83"/>
      <c r="D21" s="82"/>
      <c r="E21" s="82"/>
      <c r="F21" s="73"/>
      <c r="G21" s="73"/>
      <c r="H21" s="72"/>
      <c r="I21" s="71"/>
      <c r="J21" s="71"/>
      <c r="K21" s="70"/>
      <c r="L21" s="70"/>
      <c r="M21" s="70"/>
      <c r="N21" s="69"/>
    </row>
    <row r="22" spans="1:14" ht="16.5" x14ac:dyDescent="0.3">
      <c r="A22" s="78"/>
      <c r="B22" s="77" t="s">
        <v>63</v>
      </c>
      <c r="C22" s="81" t="s">
        <v>86</v>
      </c>
      <c r="D22" s="80"/>
      <c r="E22" s="79"/>
      <c r="F22" s="73">
        <v>1</v>
      </c>
      <c r="G22" s="73" t="s">
        <v>2</v>
      </c>
      <c r="H22" s="72">
        <v>0</v>
      </c>
      <c r="I22" s="71">
        <v>1000000</v>
      </c>
      <c r="J22" s="71">
        <v>750000</v>
      </c>
      <c r="K22" s="70">
        <f>H22*F22</f>
        <v>0</v>
      </c>
      <c r="L22" s="70">
        <f>I22*F22</f>
        <v>1000000</v>
      </c>
      <c r="M22" s="70">
        <f>J22*F22</f>
        <v>750000</v>
      </c>
      <c r="N22" s="69">
        <f>SUM(K22:M22)</f>
        <v>1750000</v>
      </c>
    </row>
    <row r="23" spans="1:14" ht="16.5" x14ac:dyDescent="0.3">
      <c r="A23" s="78"/>
      <c r="B23" s="77" t="s">
        <v>79</v>
      </c>
      <c r="C23" s="81" t="s">
        <v>85</v>
      </c>
      <c r="D23" s="80"/>
      <c r="E23" s="79"/>
      <c r="F23" s="73">
        <v>1</v>
      </c>
      <c r="G23" s="73" t="s">
        <v>2</v>
      </c>
      <c r="H23" s="72">
        <v>0</v>
      </c>
      <c r="I23" s="71">
        <v>2000000</v>
      </c>
      <c r="J23" s="71">
        <v>2500000</v>
      </c>
      <c r="K23" s="70">
        <f>H23*F23</f>
        <v>0</v>
      </c>
      <c r="L23" s="70">
        <f>I23*F23</f>
        <v>2000000</v>
      </c>
      <c r="M23" s="70">
        <f>J23*F23</f>
        <v>2500000</v>
      </c>
      <c r="N23" s="69">
        <f>SUM(K23:M23)</f>
        <v>4500000</v>
      </c>
    </row>
    <row r="24" spans="1:14" ht="17.25" thickBot="1" x14ac:dyDescent="0.35">
      <c r="A24" s="78"/>
      <c r="B24" s="77"/>
      <c r="C24" s="81"/>
      <c r="D24" s="80"/>
      <c r="E24" s="79"/>
      <c r="F24" s="73"/>
      <c r="G24" s="73"/>
      <c r="H24" s="72"/>
      <c r="I24" s="71"/>
      <c r="J24" s="71"/>
      <c r="K24" s="70"/>
      <c r="L24" s="70"/>
      <c r="M24" s="70"/>
      <c r="N24" s="69"/>
    </row>
    <row r="25" spans="1:14" ht="15.75" thickBot="1" x14ac:dyDescent="0.3">
      <c r="A25" s="68"/>
      <c r="B25" s="67"/>
      <c r="C25" s="101" t="s">
        <v>84</v>
      </c>
      <c r="D25" s="101"/>
      <c r="E25" s="101"/>
      <c r="F25" s="101"/>
      <c r="G25" s="101"/>
      <c r="H25" s="101"/>
      <c r="I25" s="101"/>
      <c r="J25" s="101"/>
      <c r="K25" s="66">
        <f>SUM(K21:K23)</f>
        <v>0</v>
      </c>
      <c r="L25" s="66">
        <f>SUM(L22:L23)</f>
        <v>3000000</v>
      </c>
      <c r="M25" s="66">
        <f>SUM(M22:M23)</f>
        <v>3250000</v>
      </c>
      <c r="N25" s="65">
        <f>SUM(N22:N23)</f>
        <v>6250000</v>
      </c>
    </row>
    <row r="26" spans="1:14" ht="16.5" x14ac:dyDescent="0.3">
      <c r="A26" s="84" t="s">
        <v>33</v>
      </c>
      <c r="B26" s="83" t="s">
        <v>83</v>
      </c>
      <c r="C26" s="83"/>
      <c r="D26" s="82"/>
      <c r="E26" s="82"/>
      <c r="F26" s="73"/>
      <c r="G26" s="73"/>
      <c r="H26" s="72"/>
      <c r="I26" s="71"/>
      <c r="J26" s="71"/>
      <c r="K26" s="70"/>
      <c r="L26" s="70"/>
      <c r="M26" s="70"/>
      <c r="N26" s="69"/>
    </row>
    <row r="27" spans="1:14" ht="16.5" x14ac:dyDescent="0.3">
      <c r="A27" s="84"/>
      <c r="B27" s="82" t="s">
        <v>63</v>
      </c>
      <c r="C27" s="88" t="s">
        <v>82</v>
      </c>
      <c r="D27" s="87"/>
      <c r="E27" s="86" t="s">
        <v>81</v>
      </c>
      <c r="F27" s="73">
        <v>1</v>
      </c>
      <c r="G27" s="73" t="s">
        <v>80</v>
      </c>
      <c r="H27" s="72">
        <v>5800000</v>
      </c>
      <c r="I27" s="71">
        <v>2500000</v>
      </c>
      <c r="J27" s="71">
        <v>1250000</v>
      </c>
      <c r="K27" s="70">
        <f t="shared" ref="K27:K33" si="0">H27*F27</f>
        <v>5800000</v>
      </c>
      <c r="L27" s="70">
        <f t="shared" ref="L27:L33" si="1">I27*F27</f>
        <v>2500000</v>
      </c>
      <c r="M27" s="70">
        <f t="shared" ref="M27:M33" si="2">J27*F27</f>
        <v>1250000</v>
      </c>
      <c r="N27" s="69">
        <f t="shared" ref="N27:N33" si="3">SUM(K27:M27)</f>
        <v>9550000</v>
      </c>
    </row>
    <row r="28" spans="1:14" ht="16.5" x14ac:dyDescent="0.3">
      <c r="A28" s="84"/>
      <c r="B28" s="82" t="s">
        <v>79</v>
      </c>
      <c r="C28" s="88" t="s">
        <v>78</v>
      </c>
      <c r="D28" s="87"/>
      <c r="E28" s="86" t="s">
        <v>75</v>
      </c>
      <c r="F28" s="73">
        <v>1</v>
      </c>
      <c r="G28" s="73" t="s">
        <v>21</v>
      </c>
      <c r="H28" s="72">
        <v>900000</v>
      </c>
      <c r="I28" s="71">
        <v>1000000</v>
      </c>
      <c r="J28" s="71">
        <v>900000</v>
      </c>
      <c r="K28" s="70">
        <f t="shared" si="0"/>
        <v>900000</v>
      </c>
      <c r="L28" s="70">
        <f t="shared" si="1"/>
        <v>1000000</v>
      </c>
      <c r="M28" s="70">
        <f t="shared" si="2"/>
        <v>900000</v>
      </c>
      <c r="N28" s="69">
        <f t="shared" si="3"/>
        <v>2800000</v>
      </c>
    </row>
    <row r="29" spans="1:14" ht="16.5" x14ac:dyDescent="0.3">
      <c r="A29" s="84"/>
      <c r="B29" s="77" t="s">
        <v>77</v>
      </c>
      <c r="C29" s="88" t="s">
        <v>76</v>
      </c>
      <c r="D29" s="87"/>
      <c r="E29" s="86" t="s">
        <v>75</v>
      </c>
      <c r="F29" s="73">
        <v>1</v>
      </c>
      <c r="G29" s="73" t="s">
        <v>21</v>
      </c>
      <c r="H29" s="72">
        <v>900000</v>
      </c>
      <c r="I29" s="71">
        <v>1000000</v>
      </c>
      <c r="J29" s="71">
        <v>900000</v>
      </c>
      <c r="K29" s="70">
        <f t="shared" si="0"/>
        <v>900000</v>
      </c>
      <c r="L29" s="70">
        <f t="shared" si="1"/>
        <v>1000000</v>
      </c>
      <c r="M29" s="70">
        <f t="shared" si="2"/>
        <v>900000</v>
      </c>
      <c r="N29" s="69">
        <f t="shared" si="3"/>
        <v>2800000</v>
      </c>
    </row>
    <row r="30" spans="1:14" ht="16.5" x14ac:dyDescent="0.3">
      <c r="A30" s="84"/>
      <c r="B30" s="77" t="s">
        <v>74</v>
      </c>
      <c r="C30" s="88" t="s">
        <v>73</v>
      </c>
      <c r="D30" s="87"/>
      <c r="E30" s="86"/>
      <c r="F30" s="73">
        <v>1</v>
      </c>
      <c r="G30" s="73" t="s">
        <v>37</v>
      </c>
      <c r="H30" s="72">
        <v>250000</v>
      </c>
      <c r="I30" s="71">
        <v>250000</v>
      </c>
      <c r="J30" s="71">
        <v>100000</v>
      </c>
      <c r="K30" s="70">
        <f t="shared" si="0"/>
        <v>250000</v>
      </c>
      <c r="L30" s="70">
        <f t="shared" si="1"/>
        <v>250000</v>
      </c>
      <c r="M30" s="70">
        <f t="shared" si="2"/>
        <v>100000</v>
      </c>
      <c r="N30" s="69">
        <f t="shared" si="3"/>
        <v>600000</v>
      </c>
    </row>
    <row r="31" spans="1:14" ht="16.5" x14ac:dyDescent="0.3">
      <c r="A31" s="78"/>
      <c r="B31" s="85" t="s">
        <v>72</v>
      </c>
      <c r="C31" s="81" t="s">
        <v>71</v>
      </c>
      <c r="D31" s="80"/>
      <c r="E31" s="79" t="s">
        <v>68</v>
      </c>
      <c r="F31" s="73">
        <v>1</v>
      </c>
      <c r="G31" s="73" t="s">
        <v>21</v>
      </c>
      <c r="H31" s="72">
        <v>1600000</v>
      </c>
      <c r="I31" s="71">
        <v>850000</v>
      </c>
      <c r="J31" s="71">
        <v>500000</v>
      </c>
      <c r="K31" s="70">
        <f t="shared" si="0"/>
        <v>1600000</v>
      </c>
      <c r="L31" s="70">
        <f t="shared" si="1"/>
        <v>850000</v>
      </c>
      <c r="M31" s="70">
        <f t="shared" si="2"/>
        <v>500000</v>
      </c>
      <c r="N31" s="69">
        <f t="shared" si="3"/>
        <v>2950000</v>
      </c>
    </row>
    <row r="32" spans="1:14" ht="16.5" x14ac:dyDescent="0.3">
      <c r="A32" s="78"/>
      <c r="B32" s="77" t="s">
        <v>70</v>
      </c>
      <c r="C32" s="81" t="s">
        <v>69</v>
      </c>
      <c r="D32" s="80"/>
      <c r="E32" s="79" t="s">
        <v>68</v>
      </c>
      <c r="F32" s="73">
        <v>1</v>
      </c>
      <c r="G32" s="73" t="s">
        <v>21</v>
      </c>
      <c r="H32" s="72">
        <v>1600000</v>
      </c>
      <c r="I32" s="71">
        <v>850000</v>
      </c>
      <c r="J32" s="71">
        <v>500000</v>
      </c>
      <c r="K32" s="70">
        <f t="shared" si="0"/>
        <v>1600000</v>
      </c>
      <c r="L32" s="70">
        <f t="shared" si="1"/>
        <v>850000</v>
      </c>
      <c r="M32" s="70">
        <f t="shared" si="2"/>
        <v>500000</v>
      </c>
      <c r="N32" s="69">
        <f t="shared" si="3"/>
        <v>2950000</v>
      </c>
    </row>
    <row r="33" spans="1:15" ht="16.5" x14ac:dyDescent="0.3">
      <c r="A33" s="78"/>
      <c r="B33" s="77" t="s">
        <v>67</v>
      </c>
      <c r="C33" s="81" t="s">
        <v>66</v>
      </c>
      <c r="D33" s="80"/>
      <c r="E33" s="79"/>
      <c r="F33" s="73">
        <v>1</v>
      </c>
      <c r="G33" s="73" t="s">
        <v>37</v>
      </c>
      <c r="H33" s="72">
        <v>0</v>
      </c>
      <c r="I33" s="71">
        <v>1250000</v>
      </c>
      <c r="J33" s="71">
        <v>1000000</v>
      </c>
      <c r="K33" s="70">
        <f t="shared" si="0"/>
        <v>0</v>
      </c>
      <c r="L33" s="70">
        <f t="shared" si="1"/>
        <v>1250000</v>
      </c>
      <c r="M33" s="70">
        <f t="shared" si="2"/>
        <v>1000000</v>
      </c>
      <c r="N33" s="69">
        <f t="shared" si="3"/>
        <v>2250000</v>
      </c>
    </row>
    <row r="34" spans="1:15" ht="17.25" thickBot="1" x14ac:dyDescent="0.35">
      <c r="A34" s="78"/>
      <c r="B34" s="77"/>
      <c r="C34" s="81"/>
      <c r="D34" s="80"/>
      <c r="E34" s="79"/>
      <c r="F34" s="73"/>
      <c r="G34" s="73"/>
      <c r="H34" s="72"/>
      <c r="I34" s="71"/>
      <c r="J34" s="71"/>
      <c r="K34" s="70"/>
      <c r="L34" s="70"/>
      <c r="M34" s="70"/>
      <c r="N34" s="69"/>
    </row>
    <row r="35" spans="1:15" ht="15.75" thickBot="1" x14ac:dyDescent="0.3">
      <c r="A35" s="68"/>
      <c r="B35" s="67"/>
      <c r="C35" s="101" t="s">
        <v>65</v>
      </c>
      <c r="D35" s="101"/>
      <c r="E35" s="101"/>
      <c r="F35" s="101"/>
      <c r="G35" s="101"/>
      <c r="H35" s="101"/>
      <c r="I35" s="101"/>
      <c r="J35" s="101"/>
      <c r="K35" s="66">
        <f>SUM(K27:K33)</f>
        <v>11050000</v>
      </c>
      <c r="L35" s="66">
        <f>SUM(L27:L33)</f>
        <v>7700000</v>
      </c>
      <c r="M35" s="66">
        <f>SUM(M27:M33)</f>
        <v>5150000</v>
      </c>
      <c r="N35" s="66">
        <f>SUM(N27:N33)</f>
        <v>23900000</v>
      </c>
    </row>
    <row r="36" spans="1:15" ht="16.5" x14ac:dyDescent="0.3">
      <c r="A36" s="84" t="s">
        <v>34</v>
      </c>
      <c r="B36" s="83" t="s">
        <v>64</v>
      </c>
      <c r="C36" s="83"/>
      <c r="D36" s="82"/>
      <c r="E36" s="82"/>
      <c r="F36" s="73"/>
      <c r="G36" s="73"/>
      <c r="H36" s="72"/>
      <c r="I36" s="71"/>
      <c r="J36" s="71"/>
      <c r="K36" s="70"/>
      <c r="L36" s="70"/>
      <c r="M36" s="70"/>
      <c r="N36" s="69"/>
    </row>
    <row r="37" spans="1:15" ht="16.5" x14ac:dyDescent="0.3">
      <c r="A37" s="78"/>
      <c r="B37" s="77" t="s">
        <v>63</v>
      </c>
      <c r="C37" s="81" t="s">
        <v>62</v>
      </c>
      <c r="D37" s="80"/>
      <c r="E37" s="79"/>
      <c r="F37" s="73">
        <v>1</v>
      </c>
      <c r="G37" s="73" t="s">
        <v>37</v>
      </c>
      <c r="H37" s="72">
        <v>0</v>
      </c>
      <c r="I37" s="71">
        <v>1250000</v>
      </c>
      <c r="J37" s="71">
        <v>750000</v>
      </c>
      <c r="K37" s="70">
        <f>H37*F37</f>
        <v>0</v>
      </c>
      <c r="L37" s="70">
        <f>I37*F37</f>
        <v>1250000</v>
      </c>
      <c r="M37" s="70">
        <f>J37*F37</f>
        <v>750000</v>
      </c>
      <c r="N37" s="69">
        <f>SUM(K37:M37)</f>
        <v>2000000</v>
      </c>
    </row>
    <row r="38" spans="1:15" ht="17.25" thickBot="1" x14ac:dyDescent="0.35">
      <c r="A38" s="78"/>
      <c r="B38" s="77"/>
      <c r="C38" s="76"/>
      <c r="D38" s="75"/>
      <c r="E38" s="74"/>
      <c r="F38" s="73"/>
      <c r="G38" s="73"/>
      <c r="H38" s="72"/>
      <c r="I38" s="71"/>
      <c r="J38" s="71"/>
      <c r="K38" s="70"/>
      <c r="L38" s="70"/>
      <c r="M38" s="70"/>
      <c r="N38" s="69"/>
    </row>
    <row r="39" spans="1:15" ht="15.75" thickBot="1" x14ac:dyDescent="0.3">
      <c r="A39" s="68"/>
      <c r="B39" s="67"/>
      <c r="C39" s="101" t="s">
        <v>61</v>
      </c>
      <c r="D39" s="101"/>
      <c r="E39" s="101"/>
      <c r="F39" s="101"/>
      <c r="G39" s="101"/>
      <c r="H39" s="101"/>
      <c r="I39" s="101"/>
      <c r="J39" s="101"/>
      <c r="K39" s="66">
        <f>K37</f>
        <v>0</v>
      </c>
      <c r="L39" s="66">
        <f>L37</f>
        <v>1250000</v>
      </c>
      <c r="M39" s="66">
        <f>M37</f>
        <v>750000</v>
      </c>
      <c r="N39" s="65">
        <f>N37</f>
        <v>2000000</v>
      </c>
    </row>
    <row r="40" spans="1:15" ht="17.25" thickBot="1" x14ac:dyDescent="0.35">
      <c r="A40" s="64" t="s">
        <v>0</v>
      </c>
      <c r="B40" s="63" t="s">
        <v>0</v>
      </c>
      <c r="C40" s="102" t="s">
        <v>60</v>
      </c>
      <c r="D40" s="102"/>
      <c r="E40" s="102"/>
      <c r="F40" s="102"/>
      <c r="G40" s="102"/>
      <c r="H40" s="102"/>
      <c r="I40" s="102"/>
      <c r="J40" s="103"/>
      <c r="K40" s="62">
        <f>K20+K25+K35+K39+K12</f>
        <v>11050000</v>
      </c>
      <c r="L40" s="62">
        <f>L20+L25+L35+L39+L12</f>
        <v>16800000</v>
      </c>
      <c r="M40" s="62">
        <f>M20+M25+M35+M39+M12</f>
        <v>16900000</v>
      </c>
      <c r="N40" s="61">
        <f>SUM(K40:M40)</f>
        <v>44750000</v>
      </c>
      <c r="O40" s="60" t="s">
        <v>0</v>
      </c>
    </row>
    <row r="41" spans="1:15" x14ac:dyDescent="0.25">
      <c r="M41" t="s">
        <v>59</v>
      </c>
      <c r="N41" s="60">
        <f>0.05*N40</f>
        <v>2237500</v>
      </c>
    </row>
    <row r="42" spans="1:15" x14ac:dyDescent="0.25">
      <c r="M42" t="s">
        <v>58</v>
      </c>
      <c r="N42" s="60">
        <f>N40-N41</f>
        <v>42512500</v>
      </c>
    </row>
    <row r="45" spans="1:15" x14ac:dyDescent="0.25">
      <c r="L45" t="s">
        <v>113</v>
      </c>
    </row>
    <row r="46" spans="1:15" x14ac:dyDescent="0.25">
      <c r="A46" t="s">
        <v>57</v>
      </c>
      <c r="L46" t="s">
        <v>56</v>
      </c>
      <c r="N46" t="s">
        <v>0</v>
      </c>
    </row>
    <row r="47" spans="1:15" x14ac:dyDescent="0.25">
      <c r="A47" s="1" t="s">
        <v>20</v>
      </c>
      <c r="B47" t="s">
        <v>55</v>
      </c>
    </row>
    <row r="48" spans="1:15" x14ac:dyDescent="0.25">
      <c r="A48" s="1" t="s">
        <v>20</v>
      </c>
      <c r="B48" t="s">
        <v>54</v>
      </c>
    </row>
    <row r="49" spans="1:14" x14ac:dyDescent="0.25">
      <c r="A49" s="1" t="s">
        <v>20</v>
      </c>
      <c r="B49" t="s">
        <v>114</v>
      </c>
    </row>
    <row r="50" spans="1:14" x14ac:dyDescent="0.25">
      <c r="A50" s="1" t="s">
        <v>20</v>
      </c>
      <c r="B50" t="s">
        <v>53</v>
      </c>
    </row>
    <row r="51" spans="1:14" x14ac:dyDescent="0.25">
      <c r="A51" s="1" t="s">
        <v>0</v>
      </c>
      <c r="B51" t="s">
        <v>0</v>
      </c>
      <c r="L51" s="59" t="s">
        <v>52</v>
      </c>
    </row>
    <row r="52" spans="1:14" x14ac:dyDescent="0.25">
      <c r="L52" t="s">
        <v>1</v>
      </c>
    </row>
    <row r="53" spans="1:14" x14ac:dyDescent="0.25">
      <c r="N53" s="9"/>
    </row>
    <row r="54" spans="1:14" x14ac:dyDescent="0.25">
      <c r="N54" s="9"/>
    </row>
  </sheetData>
  <mergeCells count="16">
    <mergeCell ref="C12:J12"/>
    <mergeCell ref="A6:A7"/>
    <mergeCell ref="B6:E7"/>
    <mergeCell ref="F6:F7"/>
    <mergeCell ref="G6:G7"/>
    <mergeCell ref="H6:J6"/>
    <mergeCell ref="F4:I4"/>
    <mergeCell ref="K6:M6"/>
    <mergeCell ref="N6:N7"/>
    <mergeCell ref="A2:N2"/>
    <mergeCell ref="E3:K3"/>
    <mergeCell ref="C20:J20"/>
    <mergeCell ref="C25:J25"/>
    <mergeCell ref="C35:J35"/>
    <mergeCell ref="C39:J39"/>
    <mergeCell ref="C40:J40"/>
  </mergeCells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5964-CA0B-4F89-8C4D-F528FA58434A}">
  <dimension ref="B1:Y53"/>
  <sheetViews>
    <sheetView tabSelected="1" workbookViewId="0">
      <selection activeCell="O6" sqref="O6"/>
    </sheetView>
  </sheetViews>
  <sheetFormatPr defaultRowHeight="15" x14ac:dyDescent="0.25"/>
  <cols>
    <col min="3" max="3" width="3.28515625" customWidth="1"/>
    <col min="4" max="4" width="55.85546875" bestFit="1" customWidth="1"/>
    <col min="7" max="7" width="12.85546875" style="52" bestFit="1" customWidth="1"/>
    <col min="9" max="9" width="9.140625" style="52"/>
    <col min="10" max="10" width="15" bestFit="1" customWidth="1"/>
    <col min="11" max="11" width="17.7109375" style="2" customWidth="1"/>
    <col min="12" max="12" width="10.28515625" customWidth="1"/>
    <col min="14" max="14" width="20.5703125" customWidth="1"/>
    <col min="15" max="15" width="4.7109375" customWidth="1"/>
    <col min="16" max="16" width="6" customWidth="1"/>
    <col min="17" max="24" width="4.7109375" customWidth="1"/>
  </cols>
  <sheetData>
    <row r="1" spans="2:25" x14ac:dyDescent="0.25">
      <c r="B1" s="16" t="s">
        <v>44</v>
      </c>
    </row>
    <row r="2" spans="2:25" ht="15.75" thickBot="1" x14ac:dyDescent="0.3"/>
    <row r="3" spans="2:25" ht="15.75" thickBot="1" x14ac:dyDescent="0.3">
      <c r="B3" s="17" t="s">
        <v>9</v>
      </c>
      <c r="C3" s="12"/>
      <c r="D3" s="12" t="s">
        <v>8</v>
      </c>
      <c r="E3" s="12" t="s">
        <v>0</v>
      </c>
      <c r="F3" s="12"/>
      <c r="G3" s="53" t="s">
        <v>51</v>
      </c>
      <c r="H3" s="11" t="s">
        <v>7</v>
      </c>
      <c r="I3" s="10" t="s">
        <v>6</v>
      </c>
      <c r="J3" s="10" t="s">
        <v>5</v>
      </c>
      <c r="K3" s="37" t="s">
        <v>4</v>
      </c>
      <c r="L3" s="16" t="s">
        <v>49</v>
      </c>
      <c r="M3" s="16" t="s">
        <v>50</v>
      </c>
    </row>
    <row r="4" spans="2:25" ht="15.75" x14ac:dyDescent="0.25">
      <c r="B4" s="22" t="s">
        <v>22</v>
      </c>
      <c r="C4" s="15" t="s">
        <v>31</v>
      </c>
      <c r="D4" s="13"/>
      <c r="E4" s="4"/>
      <c r="F4" s="4" t="s">
        <v>0</v>
      </c>
      <c r="G4" s="3">
        <v>7</v>
      </c>
      <c r="H4" s="35"/>
      <c r="I4" s="57"/>
      <c r="J4" s="35"/>
      <c r="K4" s="38"/>
      <c r="N4" t="s">
        <v>117</v>
      </c>
      <c r="O4">
        <v>1</v>
      </c>
      <c r="P4">
        <v>2</v>
      </c>
      <c r="Q4">
        <v>3</v>
      </c>
      <c r="R4">
        <v>4</v>
      </c>
      <c r="S4">
        <v>5</v>
      </c>
      <c r="T4">
        <v>6</v>
      </c>
      <c r="U4">
        <v>7</v>
      </c>
      <c r="V4">
        <v>8</v>
      </c>
      <c r="W4">
        <v>9</v>
      </c>
      <c r="X4">
        <v>10</v>
      </c>
    </row>
    <row r="5" spans="2:25" ht="31.5" x14ac:dyDescent="0.25">
      <c r="B5" s="23">
        <v>1</v>
      </c>
      <c r="C5" s="4"/>
      <c r="D5" s="24" t="s">
        <v>40</v>
      </c>
      <c r="E5" s="4"/>
      <c r="F5" s="4"/>
      <c r="G5" s="3"/>
      <c r="H5" s="7">
        <v>1</v>
      </c>
      <c r="I5" s="7" t="s">
        <v>26</v>
      </c>
      <c r="J5" s="5">
        <v>3825000</v>
      </c>
      <c r="K5" s="26">
        <f t="shared" ref="K5:K11" si="0">J5*H5</f>
        <v>3825000</v>
      </c>
      <c r="L5">
        <f>K5/$K$15</f>
        <v>0.3130114566284779</v>
      </c>
      <c r="N5" t="s">
        <v>115</v>
      </c>
      <c r="O5" s="113">
        <f>$L$5/4</f>
        <v>7.8252864157119476E-2</v>
      </c>
      <c r="P5" s="113">
        <f t="shared" ref="P5:R5" si="1">$L$5/4</f>
        <v>7.8252864157119476E-2</v>
      </c>
      <c r="Q5" s="113">
        <f t="shared" si="1"/>
        <v>7.8252864157119476E-2</v>
      </c>
      <c r="R5" s="113">
        <f t="shared" si="1"/>
        <v>7.8252864157119476E-2</v>
      </c>
    </row>
    <row r="6" spans="2:25" ht="15.75" x14ac:dyDescent="0.25">
      <c r="B6" s="23"/>
      <c r="C6" s="4"/>
      <c r="D6" s="24"/>
      <c r="E6" s="4"/>
      <c r="F6" s="4"/>
      <c r="G6" s="3"/>
      <c r="H6" s="7"/>
      <c r="I6" s="7"/>
      <c r="J6" s="5"/>
      <c r="K6" s="26"/>
      <c r="M6">
        <f>SUM(O6:X6)/L5</f>
        <v>0.76674509803921564</v>
      </c>
      <c r="N6" t="s">
        <v>22</v>
      </c>
      <c r="P6">
        <v>0.08</v>
      </c>
      <c r="Q6">
        <v>0.04</v>
      </c>
      <c r="R6">
        <v>0.04</v>
      </c>
      <c r="S6">
        <v>0.08</v>
      </c>
    </row>
    <row r="7" spans="2:25" ht="15.75" x14ac:dyDescent="0.25">
      <c r="B7" s="19">
        <v>2</v>
      </c>
      <c r="C7" s="4"/>
      <c r="D7" s="25" t="s">
        <v>27</v>
      </c>
      <c r="E7" s="4"/>
      <c r="F7" s="4"/>
      <c r="G7" s="3"/>
      <c r="H7" s="7">
        <v>1</v>
      </c>
      <c r="I7" s="7" t="s">
        <v>26</v>
      </c>
      <c r="J7" s="8">
        <v>1377000</v>
      </c>
      <c r="K7" s="26">
        <f t="shared" si="0"/>
        <v>1377000</v>
      </c>
      <c r="L7">
        <f>K7/$K$15</f>
        <v>0.11268412438625204</v>
      </c>
      <c r="N7" t="s">
        <v>116</v>
      </c>
      <c r="Q7" s="113">
        <f>$L$7/4</f>
        <v>2.817103109656301E-2</v>
      </c>
      <c r="R7" s="113">
        <f t="shared" ref="R7:T7" si="2">$L$7/4</f>
        <v>2.817103109656301E-2</v>
      </c>
      <c r="S7" s="113">
        <f t="shared" si="2"/>
        <v>2.817103109656301E-2</v>
      </c>
      <c r="T7" s="113">
        <f t="shared" si="2"/>
        <v>2.817103109656301E-2</v>
      </c>
    </row>
    <row r="8" spans="2:25" ht="15.75" x14ac:dyDescent="0.25">
      <c r="B8" s="19"/>
      <c r="C8" s="4"/>
      <c r="D8" s="25"/>
      <c r="E8" s="4"/>
      <c r="F8" s="4"/>
      <c r="G8" s="3"/>
      <c r="H8" s="7"/>
      <c r="I8" s="7"/>
      <c r="J8" s="8"/>
      <c r="K8" s="26"/>
      <c r="M8">
        <f>SUM(O8:X8)/L7</f>
        <v>1.3311546840958606</v>
      </c>
      <c r="N8" t="s">
        <v>22</v>
      </c>
      <c r="P8">
        <v>0.03</v>
      </c>
      <c r="Q8">
        <v>0.03</v>
      </c>
      <c r="R8">
        <v>0.03</v>
      </c>
      <c r="S8">
        <v>0.06</v>
      </c>
    </row>
    <row r="9" spans="2:25" ht="15.75" x14ac:dyDescent="0.25">
      <c r="B9" s="19">
        <v>3</v>
      </c>
      <c r="C9" s="4"/>
      <c r="D9" s="25" t="s">
        <v>28</v>
      </c>
      <c r="E9" s="4"/>
      <c r="F9" s="4"/>
      <c r="G9" s="3"/>
      <c r="H9" s="7">
        <v>1</v>
      </c>
      <c r="I9" s="7" t="s">
        <v>26</v>
      </c>
      <c r="J9" s="8">
        <v>3213000</v>
      </c>
      <c r="K9" s="26">
        <f t="shared" si="0"/>
        <v>3213000</v>
      </c>
      <c r="L9">
        <f>K9/$K$15</f>
        <v>0.26292962356792143</v>
      </c>
      <c r="N9" t="s">
        <v>116</v>
      </c>
      <c r="U9" s="113">
        <f>L9/2</f>
        <v>0.13146481178396072</v>
      </c>
      <c r="V9" s="113">
        <f>L9/2</f>
        <v>0.13146481178396072</v>
      </c>
    </row>
    <row r="10" spans="2:25" ht="15.75" x14ac:dyDescent="0.25">
      <c r="B10" s="19"/>
      <c r="C10" s="4"/>
      <c r="D10" s="25"/>
      <c r="E10" s="4"/>
      <c r="F10" s="4"/>
      <c r="G10" s="3"/>
      <c r="H10" s="7"/>
      <c r="I10" s="7"/>
      <c r="J10" s="8"/>
      <c r="K10" s="26"/>
      <c r="M10">
        <f>SUM(O10:X10)/L9</f>
        <v>0</v>
      </c>
      <c r="N10" t="s">
        <v>22</v>
      </c>
    </row>
    <row r="11" spans="2:25" ht="15.75" customHeight="1" x14ac:dyDescent="0.25">
      <c r="B11" s="19">
        <v>4</v>
      </c>
      <c r="C11" s="4"/>
      <c r="D11" s="25" t="s">
        <v>29</v>
      </c>
      <c r="E11" s="4"/>
      <c r="F11" s="4"/>
      <c r="G11" s="3"/>
      <c r="H11" s="7">
        <v>1</v>
      </c>
      <c r="I11" s="7" t="s">
        <v>30</v>
      </c>
      <c r="J11" s="8">
        <v>2805000</v>
      </c>
      <c r="K11" s="39">
        <f t="shared" si="0"/>
        <v>2805000</v>
      </c>
      <c r="L11">
        <f>K11/$K$15</f>
        <v>0.22954173486088381</v>
      </c>
      <c r="N11" t="s">
        <v>116</v>
      </c>
      <c r="O11" s="113">
        <f>$L$11/5</f>
        <v>4.5908346972176758E-2</v>
      </c>
      <c r="P11" s="113">
        <f t="shared" ref="P11:S11" si="3">$L$11/5</f>
        <v>4.5908346972176758E-2</v>
      </c>
      <c r="Q11" s="113">
        <f t="shared" si="3"/>
        <v>4.5908346972176758E-2</v>
      </c>
      <c r="R11" s="113">
        <f t="shared" si="3"/>
        <v>4.5908346972176758E-2</v>
      </c>
      <c r="S11" s="113">
        <f t="shared" si="3"/>
        <v>4.5908346972176758E-2</v>
      </c>
    </row>
    <row r="12" spans="2:25" ht="15.75" customHeight="1" x14ac:dyDescent="0.25">
      <c r="B12" s="19"/>
      <c r="C12" s="4"/>
      <c r="D12" s="25"/>
      <c r="E12" s="4"/>
      <c r="F12" s="4"/>
      <c r="G12" s="3"/>
      <c r="H12" s="7"/>
      <c r="I12" s="7"/>
      <c r="J12" s="8"/>
      <c r="K12" s="26"/>
      <c r="M12">
        <f>SUM(O12:X12)/L11</f>
        <v>1.1326916221033867</v>
      </c>
      <c r="N12" t="s">
        <v>22</v>
      </c>
      <c r="O12">
        <v>0.05</v>
      </c>
      <c r="P12">
        <v>0.05</v>
      </c>
      <c r="Q12">
        <v>0.01</v>
      </c>
      <c r="R12">
        <v>0.05</v>
      </c>
      <c r="S12">
        <v>0.1</v>
      </c>
    </row>
    <row r="13" spans="2:25" ht="15.75" customHeight="1" x14ac:dyDescent="0.25">
      <c r="B13" s="19"/>
      <c r="C13" s="4"/>
      <c r="D13" s="25" t="s">
        <v>118</v>
      </c>
      <c r="E13" s="4"/>
      <c r="F13" s="4"/>
      <c r="G13" s="3"/>
      <c r="H13" s="7"/>
      <c r="I13" s="7"/>
      <c r="J13" s="8"/>
      <c r="K13" s="26">
        <v>1000000</v>
      </c>
      <c r="L13">
        <f>K13/$K$15</f>
        <v>8.1833060556464818E-2</v>
      </c>
      <c r="N13" t="s">
        <v>116</v>
      </c>
      <c r="W13" s="113">
        <f>L13/2</f>
        <v>4.0916530278232409E-2</v>
      </c>
      <c r="X13" s="113">
        <f>L13/2</f>
        <v>4.0916530278232409E-2</v>
      </c>
    </row>
    <row r="14" spans="2:25" ht="15.75" customHeight="1" x14ac:dyDescent="0.25">
      <c r="B14" s="19"/>
      <c r="C14" s="4"/>
      <c r="D14" s="25"/>
      <c r="E14" s="4"/>
      <c r="F14" s="4"/>
      <c r="G14" s="3"/>
      <c r="H14" s="7"/>
      <c r="I14" s="7"/>
      <c r="J14" s="8"/>
      <c r="K14" s="26"/>
      <c r="M14">
        <f>SUM(O14:X14)/L13</f>
        <v>0</v>
      </c>
      <c r="N14" t="s">
        <v>22</v>
      </c>
    </row>
    <row r="15" spans="2:25" ht="15.75" x14ac:dyDescent="0.25">
      <c r="B15" s="34"/>
      <c r="D15" s="50" t="s">
        <v>45</v>
      </c>
      <c r="E15" s="45"/>
      <c r="F15" s="45"/>
      <c r="G15" s="54"/>
      <c r="H15" s="46"/>
      <c r="I15" s="58"/>
      <c r="J15" s="46"/>
      <c r="K15" s="47">
        <f>SUM(K5:K13)</f>
        <v>12220000</v>
      </c>
      <c r="L15">
        <f>SUM(L5:L13)</f>
        <v>0.99999999999999989</v>
      </c>
      <c r="N15" t="s">
        <v>119</v>
      </c>
      <c r="O15">
        <f>O5+O11</f>
        <v>0.12416121112929623</v>
      </c>
      <c r="P15">
        <f>P5+P11</f>
        <v>0.12416121112929623</v>
      </c>
      <c r="Q15">
        <f>Q5+Q7+Q11</f>
        <v>0.15233224222585923</v>
      </c>
      <c r="R15">
        <f>R5+R7+R11</f>
        <v>0.15233224222585923</v>
      </c>
      <c r="S15">
        <f>S7+S11</f>
        <v>7.4079378068739765E-2</v>
      </c>
      <c r="T15">
        <f>T7</f>
        <v>2.817103109656301E-2</v>
      </c>
      <c r="U15">
        <f>U9</f>
        <v>0.13146481178396072</v>
      </c>
      <c r="V15">
        <f>V9</f>
        <v>0.13146481178396072</v>
      </c>
      <c r="W15">
        <f>W13</f>
        <v>4.0916530278232409E-2</v>
      </c>
      <c r="X15">
        <f>X13</f>
        <v>4.0916530278232409E-2</v>
      </c>
      <c r="Y15">
        <f>SUM(O15:X15)</f>
        <v>1</v>
      </c>
    </row>
    <row r="16" spans="2:25" x14ac:dyDescent="0.25">
      <c r="B16" s="34"/>
      <c r="H16" s="35"/>
      <c r="I16" s="57"/>
      <c r="J16" s="35"/>
      <c r="K16" s="38"/>
      <c r="N16" t="s">
        <v>120</v>
      </c>
      <c r="O16">
        <f>O12</f>
        <v>0.05</v>
      </c>
      <c r="P16">
        <f>P6+P8+P12</f>
        <v>0.16</v>
      </c>
      <c r="Q16">
        <f t="shared" ref="Q16:R16" si="4">Q6+Q8+Q12</f>
        <v>0.08</v>
      </c>
      <c r="R16">
        <f t="shared" si="4"/>
        <v>0.12000000000000001</v>
      </c>
      <c r="S16">
        <f>S6+S8+S12</f>
        <v>0.24000000000000002</v>
      </c>
    </row>
    <row r="17" spans="2:19" x14ac:dyDescent="0.25">
      <c r="B17" s="34"/>
      <c r="H17" s="35"/>
      <c r="I17" s="57"/>
      <c r="J17" s="35"/>
      <c r="K17" s="38"/>
      <c r="N17" t="s">
        <v>121</v>
      </c>
      <c r="O17">
        <f>O15</f>
        <v>0.12416121112929623</v>
      </c>
      <c r="P17">
        <f>P15+O15</f>
        <v>0.24832242225859247</v>
      </c>
      <c r="Q17">
        <f>Q15+P17</f>
        <v>0.40065466448445169</v>
      </c>
      <c r="R17">
        <f>R15+Q17</f>
        <v>0.55298690671031092</v>
      </c>
      <c r="S17">
        <f>S15+R17</f>
        <v>0.62706628477905069</v>
      </c>
    </row>
    <row r="18" spans="2:19" ht="15.75" x14ac:dyDescent="0.25">
      <c r="B18" s="22" t="s">
        <v>24</v>
      </c>
      <c r="C18" s="15" t="s">
        <v>32</v>
      </c>
      <c r="D18" s="13"/>
      <c r="E18" s="4"/>
      <c r="F18" s="4"/>
      <c r="G18" s="3">
        <v>10</v>
      </c>
      <c r="H18" s="35"/>
      <c r="I18" s="57"/>
      <c r="J18" s="35"/>
      <c r="K18" s="38"/>
      <c r="N18" t="s">
        <v>122</v>
      </c>
      <c r="O18">
        <f>O16</f>
        <v>0.05</v>
      </c>
      <c r="P18">
        <f>P16+O18</f>
        <v>0.21000000000000002</v>
      </c>
      <c r="Q18">
        <f>Q16+P18</f>
        <v>0.29000000000000004</v>
      </c>
      <c r="R18">
        <f>R16+Q18</f>
        <v>0.41000000000000003</v>
      </c>
      <c r="S18">
        <f>S16+R18</f>
        <v>0.65</v>
      </c>
    </row>
    <row r="19" spans="2:19" ht="15.75" x14ac:dyDescent="0.25">
      <c r="B19" s="19">
        <v>1</v>
      </c>
      <c r="C19" s="4"/>
      <c r="D19" s="4" t="s">
        <v>14</v>
      </c>
      <c r="E19" s="4"/>
      <c r="F19" s="4"/>
      <c r="G19" s="3"/>
      <c r="H19" s="5"/>
      <c r="I19" s="7"/>
      <c r="J19" s="5"/>
      <c r="K19" s="26"/>
      <c r="N19" t="s">
        <v>123</v>
      </c>
      <c r="O19">
        <f>(O18-O17)*100</f>
        <v>-7.4161211129296234</v>
      </c>
      <c r="P19">
        <f t="shared" ref="P19:S19" si="5">(P18-P17)*100</f>
        <v>-3.832242225859245</v>
      </c>
      <c r="Q19">
        <f t="shared" si="5"/>
        <v>-11.065466448445166</v>
      </c>
      <c r="R19">
        <f t="shared" si="5"/>
        <v>-14.298690671031089</v>
      </c>
      <c r="S19">
        <f t="shared" si="5"/>
        <v>2.2933715220949336</v>
      </c>
    </row>
    <row r="20" spans="2:19" ht="15.75" x14ac:dyDescent="0.25">
      <c r="B20" s="19"/>
      <c r="C20" s="4"/>
      <c r="D20" s="14" t="s">
        <v>15</v>
      </c>
      <c r="E20" s="4"/>
      <c r="F20" s="4"/>
      <c r="G20" s="3"/>
      <c r="H20" s="7">
        <v>2</v>
      </c>
      <c r="I20" s="7" t="s">
        <v>16</v>
      </c>
      <c r="J20" s="8">
        <v>950000</v>
      </c>
      <c r="K20" s="26">
        <f>J20*H20</f>
        <v>1900000</v>
      </c>
    </row>
    <row r="21" spans="2:19" ht="15.75" x14ac:dyDescent="0.25">
      <c r="B21" s="19"/>
      <c r="C21" s="4"/>
      <c r="D21" s="14" t="s">
        <v>17</v>
      </c>
      <c r="E21" s="4"/>
      <c r="F21" s="4"/>
      <c r="G21" s="3"/>
      <c r="H21" s="7">
        <v>2</v>
      </c>
      <c r="I21" s="7" t="s">
        <v>16</v>
      </c>
      <c r="J21" s="8">
        <v>750000</v>
      </c>
      <c r="K21" s="26">
        <f>J21*H21</f>
        <v>1500000</v>
      </c>
    </row>
    <row r="22" spans="2:19" ht="15.75" x14ac:dyDescent="0.25">
      <c r="B22" s="19"/>
      <c r="C22" s="4"/>
      <c r="D22" s="14" t="s">
        <v>18</v>
      </c>
      <c r="E22" s="4"/>
      <c r="F22" s="4"/>
      <c r="G22" s="3"/>
      <c r="H22" s="7">
        <v>1</v>
      </c>
      <c r="I22" s="7" t="s">
        <v>2</v>
      </c>
      <c r="J22" s="8">
        <v>1500000</v>
      </c>
      <c r="K22" s="26">
        <f>J22*H22</f>
        <v>1500000</v>
      </c>
    </row>
    <row r="23" spans="2:19" ht="15.75" x14ac:dyDescent="0.25">
      <c r="B23" s="19">
        <v>2</v>
      </c>
      <c r="C23" s="4"/>
      <c r="D23" s="4" t="s">
        <v>46</v>
      </c>
      <c r="E23" s="4"/>
      <c r="F23" s="4"/>
      <c r="G23" s="3"/>
      <c r="H23" s="7">
        <v>2</v>
      </c>
      <c r="I23" s="7" t="s">
        <v>2</v>
      </c>
      <c r="J23" s="8">
        <v>750000</v>
      </c>
      <c r="K23" s="26">
        <f>J23*H23</f>
        <v>1500000</v>
      </c>
    </row>
    <row r="24" spans="2:19" ht="18" x14ac:dyDescent="0.4">
      <c r="B24" s="19">
        <v>3</v>
      </c>
      <c r="C24" s="4"/>
      <c r="D24" s="4" t="s">
        <v>3</v>
      </c>
      <c r="E24" s="4"/>
      <c r="F24" s="4"/>
      <c r="G24" s="3"/>
      <c r="H24" s="7">
        <v>1</v>
      </c>
      <c r="I24" s="7" t="s">
        <v>2</v>
      </c>
      <c r="J24" s="8">
        <v>2800000</v>
      </c>
      <c r="K24" s="40">
        <f>J24*H24</f>
        <v>2800000</v>
      </c>
    </row>
    <row r="25" spans="2:19" ht="15.75" x14ac:dyDescent="0.25">
      <c r="B25" s="19"/>
      <c r="C25" s="4"/>
      <c r="D25" s="41" t="s">
        <v>45</v>
      </c>
      <c r="E25" s="41"/>
      <c r="F25" s="41"/>
      <c r="G25" s="55"/>
      <c r="H25" s="42"/>
      <c r="I25" s="42"/>
      <c r="J25" s="43"/>
      <c r="K25" s="44">
        <f>SUM(K20:K24)</f>
        <v>9200000</v>
      </c>
    </row>
    <row r="26" spans="2:19" ht="15.75" x14ac:dyDescent="0.25">
      <c r="B26" s="19"/>
      <c r="C26" s="4"/>
      <c r="D26" s="4"/>
      <c r="E26" s="4"/>
      <c r="F26" s="4"/>
      <c r="G26" s="3"/>
      <c r="H26" s="7"/>
      <c r="I26" s="7"/>
      <c r="J26" s="8"/>
      <c r="K26" s="26"/>
    </row>
    <row r="27" spans="2:19" ht="15.75" x14ac:dyDescent="0.25">
      <c r="B27" s="19"/>
      <c r="C27" s="4"/>
      <c r="D27" s="4"/>
      <c r="E27" s="4"/>
      <c r="F27" s="4"/>
      <c r="G27" s="3"/>
      <c r="H27" s="7"/>
      <c r="I27" s="7"/>
      <c r="J27" s="8"/>
      <c r="K27" s="26"/>
    </row>
    <row r="28" spans="2:19" ht="15.75" x14ac:dyDescent="0.25">
      <c r="B28" s="27" t="s">
        <v>25</v>
      </c>
      <c r="C28" s="36" t="s">
        <v>41</v>
      </c>
      <c r="D28" s="4"/>
      <c r="E28" s="4"/>
      <c r="F28" s="4"/>
      <c r="G28" s="3">
        <v>8</v>
      </c>
      <c r="H28" s="35"/>
      <c r="I28" s="57"/>
      <c r="J28" s="35"/>
      <c r="K28" s="38"/>
    </row>
    <row r="29" spans="2:19" ht="15.75" x14ac:dyDescent="0.25">
      <c r="B29" s="19">
        <v>1</v>
      </c>
      <c r="C29" s="4"/>
      <c r="D29" s="4" t="s">
        <v>35</v>
      </c>
      <c r="E29" s="4"/>
      <c r="F29" s="4"/>
      <c r="G29" s="3"/>
      <c r="H29" s="5"/>
      <c r="I29" s="7"/>
      <c r="J29" s="5"/>
      <c r="K29" s="26"/>
    </row>
    <row r="30" spans="2:19" ht="15.75" x14ac:dyDescent="0.25">
      <c r="B30" s="19"/>
      <c r="C30" s="4"/>
      <c r="D30" s="14" t="s">
        <v>36</v>
      </c>
      <c r="E30" s="4"/>
      <c r="F30" s="4"/>
      <c r="G30" s="3"/>
      <c r="H30" s="7">
        <v>1</v>
      </c>
      <c r="I30" s="7" t="s">
        <v>37</v>
      </c>
      <c r="J30" s="21">
        <v>2500000</v>
      </c>
      <c r="K30" s="26">
        <v>2500000</v>
      </c>
    </row>
    <row r="31" spans="2:19" ht="15.75" x14ac:dyDescent="0.25">
      <c r="B31" s="19"/>
      <c r="C31" s="4"/>
      <c r="D31" s="14" t="s">
        <v>38</v>
      </c>
      <c r="E31" s="4"/>
      <c r="F31" s="4"/>
      <c r="G31" s="3"/>
      <c r="H31" s="7">
        <v>1</v>
      </c>
      <c r="I31" s="7" t="s">
        <v>2</v>
      </c>
      <c r="J31" s="21">
        <v>1750000</v>
      </c>
      <c r="K31" s="26">
        <v>1750000</v>
      </c>
    </row>
    <row r="32" spans="2:19" ht="15.75" x14ac:dyDescent="0.25">
      <c r="B32" s="19">
        <v>2</v>
      </c>
      <c r="C32" s="4"/>
      <c r="D32" s="4" t="s">
        <v>12</v>
      </c>
      <c r="E32" s="4"/>
      <c r="F32" s="4"/>
      <c r="G32" s="3"/>
      <c r="H32" s="7">
        <v>1</v>
      </c>
      <c r="I32" s="7" t="s">
        <v>2</v>
      </c>
      <c r="J32" s="21">
        <v>8960000</v>
      </c>
      <c r="K32" s="26">
        <v>8960000</v>
      </c>
    </row>
    <row r="33" spans="2:11" ht="15.75" x14ac:dyDescent="0.25">
      <c r="B33" s="19"/>
      <c r="C33" s="4"/>
      <c r="D33" s="14" t="s">
        <v>13</v>
      </c>
      <c r="E33" s="4"/>
      <c r="F33" s="4"/>
      <c r="G33" s="51"/>
      <c r="H33" s="35"/>
      <c r="I33" s="7"/>
      <c r="J33" s="21"/>
      <c r="K33" s="26"/>
    </row>
    <row r="34" spans="2:11" ht="15.75" x14ac:dyDescent="0.25">
      <c r="B34" s="19">
        <v>3</v>
      </c>
      <c r="C34" s="4"/>
      <c r="D34" s="4" t="s">
        <v>39</v>
      </c>
      <c r="E34" s="4"/>
      <c r="F34" s="4"/>
      <c r="G34" s="3"/>
      <c r="H34" s="7">
        <v>1</v>
      </c>
      <c r="I34" s="7" t="s">
        <v>2</v>
      </c>
      <c r="J34" s="21">
        <v>4716000</v>
      </c>
      <c r="K34" s="26">
        <v>4716000</v>
      </c>
    </row>
    <row r="35" spans="2:11" ht="15.75" x14ac:dyDescent="0.25">
      <c r="B35" s="19"/>
      <c r="C35" s="4"/>
      <c r="D35" s="14" t="s">
        <v>47</v>
      </c>
      <c r="F35" s="4"/>
      <c r="G35" s="3"/>
      <c r="H35" s="7"/>
      <c r="I35" s="7"/>
      <c r="J35" s="21"/>
      <c r="K35" s="26"/>
    </row>
    <row r="36" spans="2:11" ht="15.75" x14ac:dyDescent="0.25">
      <c r="B36" s="19">
        <v>4</v>
      </c>
      <c r="C36" s="4"/>
      <c r="D36" s="4" t="s">
        <v>48</v>
      </c>
      <c r="E36" s="4"/>
      <c r="F36" s="4"/>
      <c r="G36" s="3"/>
      <c r="H36" s="7">
        <v>1</v>
      </c>
      <c r="I36" s="7" t="s">
        <v>21</v>
      </c>
      <c r="J36" s="21">
        <v>4716000</v>
      </c>
      <c r="K36" s="39">
        <v>4716000</v>
      </c>
    </row>
    <row r="37" spans="2:11" ht="15.75" x14ac:dyDescent="0.25">
      <c r="B37" s="20"/>
      <c r="C37" s="4"/>
      <c r="D37" s="41" t="s">
        <v>45</v>
      </c>
      <c r="E37" s="48"/>
      <c r="F37" s="48"/>
      <c r="G37" s="55"/>
      <c r="H37" s="46"/>
      <c r="I37" s="42"/>
      <c r="J37" s="49"/>
      <c r="K37" s="44">
        <f>SUM(K30:K36)</f>
        <v>22642000</v>
      </c>
    </row>
    <row r="38" spans="2:11" ht="15.75" x14ac:dyDescent="0.25">
      <c r="B38" s="20"/>
      <c r="C38" s="4"/>
      <c r="D38" s="14"/>
      <c r="E38" s="14"/>
      <c r="F38" s="14"/>
      <c r="G38" s="3"/>
      <c r="H38" s="35"/>
      <c r="I38" s="7"/>
      <c r="J38" s="5"/>
      <c r="K38" s="26"/>
    </row>
    <row r="39" spans="2:11" ht="15.75" x14ac:dyDescent="0.25">
      <c r="B39" s="20"/>
      <c r="C39" s="4"/>
      <c r="D39" s="14"/>
      <c r="E39" s="14"/>
      <c r="F39" s="14"/>
      <c r="G39" s="3"/>
      <c r="H39" s="35"/>
      <c r="I39" s="7"/>
      <c r="J39" s="5"/>
      <c r="K39" s="26"/>
    </row>
    <row r="40" spans="2:11" ht="15.75" x14ac:dyDescent="0.25">
      <c r="B40" s="27" t="s">
        <v>33</v>
      </c>
      <c r="C40" s="36" t="s">
        <v>42</v>
      </c>
      <c r="D40" s="4"/>
      <c r="E40" s="4"/>
      <c r="F40" s="4"/>
      <c r="G40" s="3">
        <v>7</v>
      </c>
      <c r="H40" s="7"/>
      <c r="I40" s="7"/>
      <c r="J40" s="8"/>
      <c r="K40" s="26"/>
    </row>
    <row r="41" spans="2:11" ht="15.75" x14ac:dyDescent="0.25">
      <c r="B41" s="18"/>
      <c r="C41" s="4"/>
      <c r="D41" s="4"/>
      <c r="E41" s="4"/>
      <c r="F41" s="4"/>
      <c r="G41" s="3"/>
      <c r="H41" s="7"/>
      <c r="I41" s="7"/>
      <c r="J41" s="5"/>
      <c r="K41" s="26"/>
    </row>
    <row r="42" spans="2:11" ht="15.75" x14ac:dyDescent="0.25">
      <c r="B42" s="28">
        <v>1</v>
      </c>
      <c r="C42" s="4"/>
      <c r="D42" s="4" t="s">
        <v>12</v>
      </c>
      <c r="E42" s="4"/>
      <c r="F42" s="4"/>
      <c r="G42" s="3"/>
      <c r="H42" s="7">
        <v>1</v>
      </c>
      <c r="I42" s="7" t="s">
        <v>2</v>
      </c>
      <c r="J42" s="8">
        <v>8960000</v>
      </c>
      <c r="K42" s="26">
        <f>J42*H42</f>
        <v>8960000</v>
      </c>
    </row>
    <row r="43" spans="2:11" ht="15.75" x14ac:dyDescent="0.25">
      <c r="B43" s="18"/>
      <c r="C43" s="4"/>
      <c r="D43" s="14" t="s">
        <v>13</v>
      </c>
      <c r="E43" s="14"/>
      <c r="F43" s="14"/>
      <c r="G43" s="51"/>
      <c r="H43" s="35"/>
      <c r="I43" s="7"/>
      <c r="J43" s="8"/>
      <c r="K43" s="26"/>
    </row>
    <row r="44" spans="2:11" ht="15.75" x14ac:dyDescent="0.25">
      <c r="B44" s="29">
        <v>2</v>
      </c>
      <c r="C44" s="4"/>
      <c r="D44" s="4" t="s">
        <v>43</v>
      </c>
      <c r="E44" s="4"/>
      <c r="F44" s="4"/>
      <c r="G44" s="3"/>
      <c r="H44" s="7">
        <v>1</v>
      </c>
      <c r="I44" s="7" t="s">
        <v>2</v>
      </c>
      <c r="J44" s="8">
        <v>3750000</v>
      </c>
      <c r="K44" s="26">
        <f>J44*H44</f>
        <v>3750000</v>
      </c>
    </row>
    <row r="45" spans="2:11" ht="15.75" x14ac:dyDescent="0.25">
      <c r="B45" s="34"/>
      <c r="D45" s="41" t="s">
        <v>45</v>
      </c>
      <c r="E45" s="45"/>
      <c r="F45" s="45"/>
      <c r="G45" s="54"/>
      <c r="H45" s="46"/>
      <c r="I45" s="58"/>
      <c r="J45" s="46"/>
      <c r="K45" s="47">
        <f>SUM(K42:K44)</f>
        <v>12710000</v>
      </c>
    </row>
    <row r="46" spans="2:11" x14ac:dyDescent="0.25">
      <c r="B46" s="34"/>
      <c r="H46" s="35"/>
      <c r="I46" s="57"/>
      <c r="J46" s="35"/>
      <c r="K46" s="38"/>
    </row>
    <row r="47" spans="2:11" ht="15.75" x14ac:dyDescent="0.25">
      <c r="B47" s="22" t="s">
        <v>34</v>
      </c>
      <c r="C47" s="36" t="s">
        <v>23</v>
      </c>
      <c r="D47" s="13"/>
      <c r="E47" s="4"/>
      <c r="F47" s="4"/>
      <c r="G47" s="3">
        <v>4</v>
      </c>
      <c r="H47" s="5"/>
      <c r="I47" s="7"/>
      <c r="J47" s="5"/>
      <c r="K47" s="26"/>
    </row>
    <row r="48" spans="2:11" ht="15.75" x14ac:dyDescent="0.25">
      <c r="B48" s="19">
        <v>1</v>
      </c>
      <c r="C48" s="4"/>
      <c r="D48" s="4" t="s">
        <v>10</v>
      </c>
      <c r="E48" s="4"/>
      <c r="F48" s="4"/>
      <c r="G48" s="3"/>
      <c r="H48" s="7">
        <v>4</v>
      </c>
      <c r="I48" s="7" t="s">
        <v>11</v>
      </c>
      <c r="J48" s="8">
        <v>750000</v>
      </c>
      <c r="K48" s="26">
        <f>J48*H48</f>
        <v>3000000</v>
      </c>
    </row>
    <row r="49" spans="2:11" ht="15.75" x14ac:dyDescent="0.25">
      <c r="B49" s="19">
        <v>2</v>
      </c>
      <c r="C49" s="4"/>
      <c r="D49" s="4" t="s">
        <v>19</v>
      </c>
      <c r="E49" s="4"/>
      <c r="F49" s="4"/>
      <c r="G49" s="3"/>
      <c r="H49" s="7">
        <v>3</v>
      </c>
      <c r="I49" s="7" t="s">
        <v>2</v>
      </c>
      <c r="J49" s="8">
        <v>750000</v>
      </c>
      <c r="K49" s="26">
        <f>J49*H49</f>
        <v>2250000</v>
      </c>
    </row>
    <row r="50" spans="2:11" ht="15.75" x14ac:dyDescent="0.25">
      <c r="B50" s="19"/>
      <c r="C50" s="4"/>
      <c r="D50" s="41" t="s">
        <v>45</v>
      </c>
      <c r="E50" s="41"/>
      <c r="F50" s="41"/>
      <c r="G50" s="55"/>
      <c r="H50" s="42"/>
      <c r="I50" s="42"/>
      <c r="J50" s="43"/>
      <c r="K50" s="44">
        <f>SUM(K48:K49)</f>
        <v>5250000</v>
      </c>
    </row>
    <row r="51" spans="2:11" ht="15.75" x14ac:dyDescent="0.25">
      <c r="B51" s="19"/>
      <c r="C51" s="4"/>
      <c r="D51" s="4"/>
      <c r="E51" s="4"/>
      <c r="F51" s="4"/>
      <c r="G51" s="3"/>
      <c r="H51" s="7"/>
      <c r="I51" s="7"/>
      <c r="J51" s="8"/>
      <c r="K51" s="26"/>
    </row>
    <row r="52" spans="2:11" ht="15.75" x14ac:dyDescent="0.25">
      <c r="B52" s="19"/>
      <c r="C52" s="4"/>
      <c r="D52" s="4"/>
      <c r="E52" s="4"/>
      <c r="F52" s="4"/>
      <c r="G52" s="3"/>
      <c r="H52" s="7"/>
      <c r="I52" s="7"/>
      <c r="J52" s="8"/>
      <c r="K52" s="26"/>
    </row>
    <row r="53" spans="2:11" ht="16.5" thickBot="1" x14ac:dyDescent="0.3">
      <c r="B53" s="30"/>
      <c r="C53" s="6"/>
      <c r="D53" s="6"/>
      <c r="E53" s="6"/>
      <c r="F53" s="6"/>
      <c r="G53" s="56"/>
      <c r="H53" s="31"/>
      <c r="I53" s="31"/>
      <c r="J53" s="32"/>
      <c r="K53" s="33"/>
    </row>
  </sheetData>
  <phoneticPr fontId="1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BC8C-F57F-4470-AC7B-15D116328A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PT. Tri Aldera</vt:lpstr>
      <vt:lpstr>PT. Medco</vt:lpstr>
      <vt:lpstr>Sheet1</vt:lpstr>
      <vt:lpstr>'PT. Tri Aldera'!Print_Area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Yulinas Nasir</dc:creator>
  <cp:lastModifiedBy>Yulinas Nasir</cp:lastModifiedBy>
  <cp:lastPrinted>2026-07-11T05:03:48Z</cp:lastPrinted>
  <dcterms:created xsi:type="dcterms:W3CDTF">2026-07-06T08:33:26Z</dcterms:created>
  <dcterms:modified xsi:type="dcterms:W3CDTF">2026-08-03T08:04:55Z</dcterms:modified>
</cp:coreProperties>
</file>